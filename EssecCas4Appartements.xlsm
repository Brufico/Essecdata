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6b893cd9a64fb50/Documents/Doc1718/Essec1718/Seance7/"/>
    </mc:Choice>
  </mc:AlternateContent>
  <bookViews>
    <workbookView xWindow="0" yWindow="0" windowWidth="19200" windowHeight="11955"/>
  </bookViews>
  <sheets>
    <sheet name="Données" sheetId="1" r:id="rId1"/>
    <sheet name="Solutions" sheetId="5" r:id="rId2"/>
  </sheets>
  <definedNames>
    <definedName name="xdata1" localSheetId="1" hidden="1">20+(ROW(OFFSET(Solutions!$B$5,0,0,70,1))-1)*5.11594202898551</definedName>
    <definedName name="xdata1" hidden="1">20+(ROW(OFFSET(#REF!,0,0,70,1))-1)*5.11594202898551</definedName>
    <definedName name="xdata2" localSheetId="1" hidden="1">20+(ROW(OFFSET(Solutions!$B$5,0,0,70,1))-1)*5.11594202898551</definedName>
    <definedName name="xdata2" hidden="1">20+(ROW(OFFSET(#REF!,0,0,70,1))-1)*5.11594202898551</definedName>
    <definedName name="xdata3" localSheetId="1" hidden="1">20+(ROW(OFFSET(Solutions!$B$5,0,0,100,1))-1)*3.56565656565657</definedName>
    <definedName name="xdata3" hidden="1">20+(ROW(OFFSET(#REF!,0,0,100,1))-1)*3.56565656565657</definedName>
    <definedName name="xdata4" localSheetId="1" hidden="1">20+(ROW(OFFSET(Solutions!$B$5,0,0,100,1))-1)*3.56565656565657</definedName>
    <definedName name="xdata4" hidden="1">20+(ROW(OFFSET(#REF!,0,0,100,1))-1)*3.56565656565657</definedName>
    <definedName name="xdata5" localSheetId="1" hidden="1">0+(ROW(OFFSET(Solutions!$B$5,0,0,70,1))-1)*57.9710144927536</definedName>
    <definedName name="xdata5" hidden="1">0+(ROW(OFFSET(#REF!,0,0,70,1))-1)*57.9710144927536</definedName>
    <definedName name="xdata6" localSheetId="1" hidden="1">0+(ROW(OFFSET(Solutions!$B$5,0,0,70,1))-1)*57.9710144927536</definedName>
    <definedName name="xdata6" hidden="1">0+(ROW(OFFSET(#REF!,0,0,70,1))-1)*57.9710144927536</definedName>
    <definedName name="ydata1" localSheetId="1" hidden="1">52.2582988589621+9.44330840550527*Solutions!xdata1-453.063871013329*(0.0217391304347826+(Solutions!xdata1-106.173913043478)^2/162544.608695652)^0.5</definedName>
    <definedName name="ydata2" localSheetId="1" hidden="1">52.2582988589621+9.44330840550527*Solutions!xdata2+453.063871013329*(0.0217391304347826+(Solutions!xdata2-106.173913043478)^2/162544.608695652)^0.5</definedName>
    <definedName name="ydata3" localSheetId="1" hidden="1">52.2582988589621+9.44330840550527*Solutions!xdata3-453.063871013329*(1.02173913043478+(Solutions!xdata3-106.173913043478)^2/162544.608695652)^0.5</definedName>
    <definedName name="ydata4" localSheetId="1" hidden="1">52.2582988589621+9.44330840550527*Solutions!xdata4+453.063871013329*(1.02173913043478+(Solutions!xdata4-106.173913043478)^2/162544.608695652)^0.5</definedName>
    <definedName name="ydata5" localSheetId="1" hidden="1">0+1*Solutions!xdata5-453.063871013329*(1.02173913043478+(Solutions!xdata5-1054.89130434783)^2/14495089.9950701)^0.5</definedName>
    <definedName name="ydata6" localSheetId="1" hidden="1">0+1*Solutions!xdata6+453.063871013329*(1.02173913043478+(Solutions!xdata6-1054.89130434783)^2/14495089.9950701)^0.5</definedName>
  </definedNames>
  <calcPr calcId="171027"/>
</workbook>
</file>

<file path=xl/calcChain.xml><?xml version="1.0" encoding="utf-8"?>
<calcChain xmlns="http://schemas.openxmlformats.org/spreadsheetml/2006/main">
  <c r="C1" i="5" l="1"/>
  <c r="E141" i="5" s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<sst xmlns="http://schemas.openxmlformats.org/spreadsheetml/2006/main" count="189" uniqueCount="161">
  <si>
    <t>Localisation</t>
  </si>
  <si>
    <t>Surface</t>
  </si>
  <si>
    <t>Prix</t>
  </si>
  <si>
    <t>Réaumur-Sébastopol</t>
  </si>
  <si>
    <t>Bourse</t>
  </si>
  <si>
    <t>Marais Archives</t>
  </si>
  <si>
    <t>Turenne</t>
  </si>
  <si>
    <t>Luxembourg</t>
  </si>
  <si>
    <t>Soufflot</t>
  </si>
  <si>
    <t>Cardinal Lemoine</t>
  </si>
  <si>
    <t>Notre-Dame</t>
  </si>
  <si>
    <t>Gay-Lussac</t>
  </si>
  <si>
    <t>St-Medard</t>
  </si>
  <si>
    <t>Arenes de Lutèce</t>
  </si>
  <si>
    <t>Rue du Four</t>
  </si>
  <si>
    <t>ND des Champs</t>
  </si>
  <si>
    <t>St-Germain des Prés</t>
  </si>
  <si>
    <t>Vavin</t>
  </si>
  <si>
    <t xml:space="preserve">Suffren </t>
  </si>
  <si>
    <t>Bourdonnais</t>
  </si>
  <si>
    <t>Rue de Sèvres</t>
  </si>
  <si>
    <t>Rue de Seine</t>
  </si>
  <si>
    <t>Vaneau</t>
  </si>
  <si>
    <t>Babylone</t>
  </si>
  <si>
    <t>Raspail-Varenne</t>
  </si>
  <si>
    <t>St-Germain</t>
  </si>
  <si>
    <t>Tour Eiffel</t>
  </si>
  <si>
    <t>Verneuil</t>
  </si>
  <si>
    <t>Madeleine</t>
  </si>
  <si>
    <t>Berri-Artois</t>
  </si>
  <si>
    <t>Monceau</t>
  </si>
  <si>
    <t>Lisbonne</t>
  </si>
  <si>
    <t>Villiers</t>
  </si>
  <si>
    <t>Liège</t>
  </si>
  <si>
    <t>Fb St-Honoré</t>
  </si>
  <si>
    <t>Montaigne</t>
  </si>
  <si>
    <t>Trudaine</t>
  </si>
  <si>
    <t>Drouot</t>
  </si>
  <si>
    <t>Bonne nouvelle</t>
  </si>
  <si>
    <t>Y / Quantitative: Workbook = Flats.xls / Sheet = Sheet1 / Range = Sheet1!$D$2:$D$48 / 46 rows and 1 column</t>
  </si>
  <si>
    <t>X / Quantitative: Workbook = Flats.xls / Sheet = Sheet1 / Range = Sheet1!$C$2:$C$48 / 46 rows and 1 column</t>
  </si>
  <si>
    <t>Confidence interval (%): 95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</si>
  <si>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</si>
  <si>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</si>
  <si>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</si>
  <si>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</si>
  <si>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</si>
  <si>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</si>
  <si>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</si>
  <si>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</si>
  <si>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</si>
  <si>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Regression of variable Prix:</t>
  </si>
  <si>
    <t>Goodness of fit statistics:</t>
  </si>
  <si>
    <t>Sum of weights</t>
  </si>
  <si>
    <t>DF</t>
  </si>
  <si>
    <t>R²</t>
  </si>
  <si>
    <t>Adjusted R²</t>
  </si>
  <si>
    <t>MSE</t>
  </si>
  <si>
    <t>RMSE</t>
  </si>
  <si>
    <t>MAPE</t>
  </si>
  <si>
    <t>DW</t>
  </si>
  <si>
    <t>Cp</t>
  </si>
  <si>
    <t>AIC</t>
  </si>
  <si>
    <t>SBC</t>
  </si>
  <si>
    <t>PC</t>
  </si>
  <si>
    <t>Analysis of variance:</t>
  </si>
  <si>
    <t>Source</t>
  </si>
  <si>
    <t>Sum of squares</t>
  </si>
  <si>
    <t>Mean squares</t>
  </si>
  <si>
    <t>F</t>
  </si>
  <si>
    <t>Pr &gt; F</t>
  </si>
  <si>
    <t>Model</t>
  </si>
  <si>
    <t>Error</t>
  </si>
  <si>
    <t>Corrected Total</t>
  </si>
  <si>
    <t>&lt; 0.0001</t>
  </si>
  <si>
    <t>Computed against model Y=Mean(Y)</t>
  </si>
  <si>
    <t>Model parameters:</t>
  </si>
  <si>
    <t>Value</t>
  </si>
  <si>
    <t>Standard error</t>
  </si>
  <si>
    <t>t</t>
  </si>
  <si>
    <t>Pr &gt; |t|</t>
  </si>
  <si>
    <t>Lower bound (95%)</t>
  </si>
  <si>
    <t>Upper bound (95%)</t>
  </si>
  <si>
    <t>Intercept</t>
  </si>
  <si>
    <t>Equation of the model:</t>
  </si>
  <si>
    <t>Standardized coefficients:</t>
  </si>
  <si>
    <t>Predictions and residuals:</t>
  </si>
  <si>
    <t>Observation</t>
  </si>
  <si>
    <t>Weight</t>
  </si>
  <si>
    <t>Pred(Prix)</t>
  </si>
  <si>
    <t>Residual</t>
  </si>
  <si>
    <t>Std. residual</t>
  </si>
  <si>
    <t>Std. dev. on pred. (Mean)</t>
  </si>
  <si>
    <t>Lower bound 95% (Mean)</t>
  </si>
  <si>
    <t>Upper bound 95% (Mean)</t>
  </si>
  <si>
    <t>Std. dev. on pred. (Observation)</t>
  </si>
  <si>
    <t>Lower bound 95% (Observation)</t>
  </si>
  <si>
    <t>Upper bound 95% (Observation)</t>
  </si>
  <si>
    <t>Obs1</t>
  </si>
  <si>
    <t>Obs2</t>
  </si>
  <si>
    <t>Obs3</t>
  </si>
  <si>
    <t>Obs4</t>
  </si>
  <si>
    <t>Obs5</t>
  </si>
  <si>
    <t>Obs6</t>
  </si>
  <si>
    <t>Obs7</t>
  </si>
  <si>
    <t>Obs8</t>
  </si>
  <si>
    <t>Obs9</t>
  </si>
  <si>
    <t>Obs10</t>
  </si>
  <si>
    <t>Obs11</t>
  </si>
  <si>
    <t>Obs12</t>
  </si>
  <si>
    <t>Obs13</t>
  </si>
  <si>
    <t>Obs14</t>
  </si>
  <si>
    <t>Obs15</t>
  </si>
  <si>
    <t>Obs16</t>
  </si>
  <si>
    <t>Obs17</t>
  </si>
  <si>
    <t>Obs18</t>
  </si>
  <si>
    <t>Obs19</t>
  </si>
  <si>
    <t>Obs20</t>
  </si>
  <si>
    <t>Obs21</t>
  </si>
  <si>
    <t>Obs22</t>
  </si>
  <si>
    <t>Obs23</t>
  </si>
  <si>
    <t>Obs24</t>
  </si>
  <si>
    <t>Obs25</t>
  </si>
  <si>
    <t>Obs26</t>
  </si>
  <si>
    <t>Obs27</t>
  </si>
  <si>
    <t>Obs28</t>
  </si>
  <si>
    <t>Obs29</t>
  </si>
  <si>
    <t>Obs30</t>
  </si>
  <si>
    <t>Obs31</t>
  </si>
  <si>
    <t>Obs32</t>
  </si>
  <si>
    <t>Obs33</t>
  </si>
  <si>
    <t>Obs34</t>
  </si>
  <si>
    <t>Obs35</t>
  </si>
  <si>
    <t>Obs36</t>
  </si>
  <si>
    <t>Obs37</t>
  </si>
  <si>
    <t>Obs38</t>
  </si>
  <si>
    <t>Obs39</t>
  </si>
  <si>
    <t>Obs40</t>
  </si>
  <si>
    <t>Obs41</t>
  </si>
  <si>
    <t>Obs42</t>
  </si>
  <si>
    <t>Obs43</t>
  </si>
  <si>
    <t>Obs44</t>
  </si>
  <si>
    <t>Obs45</t>
  </si>
  <si>
    <t>Obs46</t>
  </si>
  <si>
    <t>XLSTAT 2008.1.02 - Linear regression - on 14/05/2009 at 16:21:47</t>
  </si>
  <si>
    <t>Prix = 52+9.44*Surface</t>
  </si>
  <si>
    <t>Ce coefficient est significatif</t>
  </si>
  <si>
    <t xml:space="preserve">Ce coefficient n'est pas significatif : la régression n'est pas nécessaire </t>
  </si>
  <si>
    <t>on pourrait se suffire du prix moyen au m²</t>
  </si>
  <si>
    <t>Voire sans constante (à ré-estimer alors)</t>
  </si>
  <si>
    <t>un seul point vraiment aberrant, à la limite un deuxième (sur 40 obs, 5% d'erreur en donne 2). Ils sont davantage visible à travers les résidus</t>
  </si>
  <si>
    <t>Il s'agit de l'Avenue Trudaine</t>
  </si>
  <si>
    <t>Prix/surface</t>
  </si>
  <si>
    <t>Question 1 :</t>
  </si>
  <si>
    <t xml:space="preserve">le prix moyen est </t>
  </si>
  <si>
    <t>k€/m²</t>
  </si>
  <si>
    <t>Question 2 :</t>
  </si>
  <si>
    <t>Question 3 :</t>
  </si>
  <si>
    <t>Il s'agit d'une extrapolation très risquée, l'exemple choisi est atypique dans l'échantillon;</t>
  </si>
  <si>
    <t xml:space="preserve"> mais si on n'a pas le  choix, alors  19x10.1=</t>
  </si>
  <si>
    <t>k€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</si>
</sst>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6" x14ac:knownFonts="1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color indexed="12"/>
      <name val="Arial"/>
    </font>
    <font>
      <i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/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3" fillId="0" borderId="2" xfId="0" applyFont="1" applyBorder="1" applyAlignment="1">
      <alignment horizontal="center"/>
    </xf>
    <xf numFmtId="0" fontId="4" fillId="0" borderId="3" xfId="0" applyFont="1" applyBorder="1"/>
    <xf numFmtId="0" fontId="0" fillId="0" borderId="4" xfId="0" applyBorder="1"/>
    <xf numFmtId="0" fontId="4" fillId="0" borderId="3" xfId="0" applyNumberFormat="1" applyFont="1" applyBorder="1" applyAlignment="1"/>
    <xf numFmtId="0" fontId="0" fillId="0" borderId="4" xfId="0" applyNumberFormat="1" applyBorder="1" applyAlignment="1"/>
    <xf numFmtId="164" fontId="4" fillId="0" borderId="3" xfId="0" applyNumberFormat="1" applyFont="1" applyBorder="1" applyAlignment="1"/>
    <xf numFmtId="164" fontId="0" fillId="0" borderId="4" xfId="0" applyNumberFormat="1" applyBorder="1" applyAlignment="1"/>
    <xf numFmtId="0" fontId="2" fillId="0" borderId="0" xfId="0" applyFont="1"/>
    <xf numFmtId="0" fontId="0" fillId="0" borderId="2" xfId="0" applyBorder="1"/>
    <xf numFmtId="164" fontId="0" fillId="0" borderId="2" xfId="0" applyNumberFormat="1" applyBorder="1" applyAlignment="1"/>
    <xf numFmtId="164" fontId="0" fillId="0" borderId="0" xfId="0" applyNumberFormat="1" applyAlignment="1"/>
    <xf numFmtId="0" fontId="0" fillId="0" borderId="3" xfId="0" applyBorder="1"/>
    <xf numFmtId="0" fontId="0" fillId="0" borderId="3" xfId="0" applyNumberFormat="1" applyBorder="1" applyAlignment="1"/>
    <xf numFmtId="0" fontId="0" fillId="0" borderId="0" xfId="0" applyNumberFormat="1" applyAlignment="1"/>
    <xf numFmtId="164" fontId="0" fillId="0" borderId="3" xfId="0" applyNumberFormat="1" applyBorder="1" applyAlignment="1"/>
    <xf numFmtId="164" fontId="0" fillId="0" borderId="3" xfId="0" applyNumberFormat="1" applyBorder="1" applyAlignment="1">
      <alignment horizontal="right"/>
    </xf>
    <xf numFmtId="0" fontId="5" fillId="0" borderId="0" xfId="0" applyFont="1"/>
    <xf numFmtId="164" fontId="0" fillId="0" borderId="4" xfId="0" applyNumberFormat="1" applyBorder="1" applyAlignment="1">
      <alignment horizontal="right"/>
    </xf>
    <xf numFmtId="0" fontId="0" fillId="0" borderId="5" xfId="0" applyBorder="1"/>
    <xf numFmtId="164" fontId="0" fillId="0" borderId="5" xfId="0" applyNumberFormat="1" applyBorder="1" applyAlignment="1"/>
    <xf numFmtId="164" fontId="0" fillId="0" borderId="5" xfId="0" applyNumberFormat="1" applyBorder="1" applyAlignment="1">
      <alignment horizontal="right"/>
    </xf>
    <xf numFmtId="0" fontId="0" fillId="3" borderId="3" xfId="0" applyFill="1" applyBorder="1"/>
    <xf numFmtId="164" fontId="0" fillId="3" borderId="3" xfId="0" applyNumberFormat="1" applyFill="1" applyBorder="1" applyAlignment="1"/>
    <xf numFmtId="0" fontId="0" fillId="3" borderId="4" xfId="0" applyFill="1" applyBorder="1"/>
    <xf numFmtId="164" fontId="0" fillId="3" borderId="4" xfId="0" applyNumberFormat="1" applyFill="1" applyBorder="1" applyAlignment="1"/>
    <xf numFmtId="0" fontId="3" fillId="3" borderId="0" xfId="0" applyFont="1" applyFill="1"/>
    <xf numFmtId="0" fontId="0" fillId="3" borderId="0" xfId="0" applyFill="1"/>
    <xf numFmtId="164" fontId="0" fillId="4" borderId="4" xfId="0" applyNumberFormat="1" applyFill="1" applyBorder="1" applyAlignment="1"/>
    <xf numFmtId="0" fontId="0" fillId="4" borderId="0" xfId="0" applyFill="1"/>
    <xf numFmtId="164" fontId="0" fillId="5" borderId="3" xfId="0" applyNumberFormat="1" applyFill="1" applyBorder="1" applyAlignment="1"/>
    <xf numFmtId="0" fontId="0" fillId="5" borderId="0" xfId="0" applyFill="1"/>
    <xf numFmtId="0" fontId="0" fillId="6" borderId="0" xfId="0" applyFill="1"/>
    <xf numFmtId="0" fontId="2" fillId="2" borderId="0" xfId="0" applyFont="1" applyFill="1" applyBorder="1" applyAlignment="1">
      <alignment horizontal="center"/>
    </xf>
    <xf numFmtId="2" fontId="0" fillId="0" borderId="0" xfId="0" applyNumberFormat="1"/>
    <xf numFmtId="2" fontId="0" fillId="5" borderId="0" xfId="0" applyNumberFormat="1" applyFill="1"/>
    <xf numFmtId="1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Regression of Prix by Surface (R²=0.867)</a:t>
            </a:r>
          </a:p>
        </c:rich>
      </c:tx>
      <c:layout>
        <c:manualLayout>
          <c:xMode val="edge"/>
          <c:yMode val="edge"/>
          <c:x val="0.29233562474867836"/>
          <c:y val="3.52941683337665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942979791561859"/>
          <c:y val="0.17058848027987172"/>
          <c:w val="0.83957365400382622"/>
          <c:h val="0.62353030722987601"/>
        </c:manualLayout>
      </c:layout>
      <c:scatterChart>
        <c:scatterStyle val="lineMarker"/>
        <c:varyColors val="0"/>
        <c:ser>
          <c:idx val="0"/>
          <c:order val="0"/>
          <c:tx>
            <c:v>Active</c:v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Solutions!$D$68:$D$113</c:f>
              <c:numCache>
                <c:formatCode>0.000</c:formatCode>
                <c:ptCount val="46"/>
                <c:pt idx="0">
                  <c:v>131</c:v>
                </c:pt>
                <c:pt idx="1">
                  <c:v>55</c:v>
                </c:pt>
                <c:pt idx="2">
                  <c:v>81</c:v>
                </c:pt>
                <c:pt idx="3">
                  <c:v>100</c:v>
                </c:pt>
                <c:pt idx="4">
                  <c:v>152</c:v>
                </c:pt>
                <c:pt idx="5">
                  <c:v>145</c:v>
                </c:pt>
                <c:pt idx="6">
                  <c:v>59</c:v>
                </c:pt>
                <c:pt idx="7">
                  <c:v>56</c:v>
                </c:pt>
                <c:pt idx="8">
                  <c:v>80</c:v>
                </c:pt>
                <c:pt idx="9">
                  <c:v>53</c:v>
                </c:pt>
                <c:pt idx="10">
                  <c:v>78</c:v>
                </c:pt>
                <c:pt idx="11">
                  <c:v>95</c:v>
                </c:pt>
                <c:pt idx="12">
                  <c:v>50</c:v>
                </c:pt>
                <c:pt idx="13">
                  <c:v>98</c:v>
                </c:pt>
                <c:pt idx="14">
                  <c:v>97</c:v>
                </c:pt>
                <c:pt idx="15">
                  <c:v>98</c:v>
                </c:pt>
                <c:pt idx="16">
                  <c:v>30</c:v>
                </c:pt>
                <c:pt idx="17">
                  <c:v>160</c:v>
                </c:pt>
                <c:pt idx="18">
                  <c:v>120</c:v>
                </c:pt>
                <c:pt idx="19">
                  <c:v>68</c:v>
                </c:pt>
                <c:pt idx="20">
                  <c:v>68</c:v>
                </c:pt>
                <c:pt idx="21">
                  <c:v>69</c:v>
                </c:pt>
                <c:pt idx="22">
                  <c:v>64</c:v>
                </c:pt>
                <c:pt idx="23">
                  <c:v>373</c:v>
                </c:pt>
                <c:pt idx="24">
                  <c:v>101</c:v>
                </c:pt>
                <c:pt idx="25">
                  <c:v>91</c:v>
                </c:pt>
                <c:pt idx="26">
                  <c:v>65</c:v>
                </c:pt>
                <c:pt idx="27">
                  <c:v>132</c:v>
                </c:pt>
                <c:pt idx="28">
                  <c:v>56</c:v>
                </c:pt>
                <c:pt idx="29">
                  <c:v>51</c:v>
                </c:pt>
                <c:pt idx="30">
                  <c:v>67</c:v>
                </c:pt>
                <c:pt idx="31">
                  <c:v>200</c:v>
                </c:pt>
                <c:pt idx="32">
                  <c:v>141</c:v>
                </c:pt>
                <c:pt idx="33">
                  <c:v>118</c:v>
                </c:pt>
                <c:pt idx="34">
                  <c:v>132</c:v>
                </c:pt>
                <c:pt idx="35">
                  <c:v>20</c:v>
                </c:pt>
                <c:pt idx="36">
                  <c:v>50</c:v>
                </c:pt>
                <c:pt idx="37">
                  <c:v>83</c:v>
                </c:pt>
                <c:pt idx="38">
                  <c:v>121</c:v>
                </c:pt>
                <c:pt idx="39">
                  <c:v>178</c:v>
                </c:pt>
                <c:pt idx="40">
                  <c:v>195</c:v>
                </c:pt>
                <c:pt idx="41">
                  <c:v>104</c:v>
                </c:pt>
                <c:pt idx="42">
                  <c:v>191</c:v>
                </c:pt>
                <c:pt idx="43">
                  <c:v>158</c:v>
                </c:pt>
                <c:pt idx="44">
                  <c:v>145</c:v>
                </c:pt>
                <c:pt idx="45">
                  <c:v>105</c:v>
                </c:pt>
              </c:numCache>
            </c:numRef>
          </c:xVal>
          <c:yVal>
            <c:numRef>
              <c:f>Solutions!$E$68:$E$113</c:f>
              <c:numCache>
                <c:formatCode>0.000</c:formatCode>
                <c:ptCount val="46"/>
                <c:pt idx="0">
                  <c:v>1150</c:v>
                </c:pt>
                <c:pt idx="1">
                  <c:v>450</c:v>
                </c:pt>
                <c:pt idx="2">
                  <c:v>850</c:v>
                </c:pt>
                <c:pt idx="3">
                  <c:v>1180</c:v>
                </c:pt>
                <c:pt idx="4">
                  <c:v>1575</c:v>
                </c:pt>
                <c:pt idx="5">
                  <c:v>1650</c:v>
                </c:pt>
                <c:pt idx="6">
                  <c:v>495</c:v>
                </c:pt>
                <c:pt idx="7">
                  <c:v>670</c:v>
                </c:pt>
                <c:pt idx="8">
                  <c:v>843</c:v>
                </c:pt>
                <c:pt idx="9">
                  <c:v>448</c:v>
                </c:pt>
                <c:pt idx="10">
                  <c:v>650</c:v>
                </c:pt>
                <c:pt idx="11">
                  <c:v>1350</c:v>
                </c:pt>
                <c:pt idx="12">
                  <c:v>389</c:v>
                </c:pt>
                <c:pt idx="13">
                  <c:v>850</c:v>
                </c:pt>
                <c:pt idx="14">
                  <c:v>1150</c:v>
                </c:pt>
                <c:pt idx="15">
                  <c:v>850</c:v>
                </c:pt>
                <c:pt idx="16">
                  <c:v>390</c:v>
                </c:pt>
                <c:pt idx="17">
                  <c:v>1470</c:v>
                </c:pt>
                <c:pt idx="18">
                  <c:v>1250</c:v>
                </c:pt>
                <c:pt idx="19">
                  <c:v>650</c:v>
                </c:pt>
                <c:pt idx="20">
                  <c:v>775</c:v>
                </c:pt>
                <c:pt idx="21">
                  <c:v>833</c:v>
                </c:pt>
                <c:pt idx="22">
                  <c:v>725</c:v>
                </c:pt>
                <c:pt idx="23">
                  <c:v>3500</c:v>
                </c:pt>
                <c:pt idx="24">
                  <c:v>836</c:v>
                </c:pt>
                <c:pt idx="25">
                  <c:v>1060</c:v>
                </c:pt>
                <c:pt idx="26">
                  <c:v>645</c:v>
                </c:pt>
                <c:pt idx="27">
                  <c:v>1160</c:v>
                </c:pt>
                <c:pt idx="28">
                  <c:v>525</c:v>
                </c:pt>
                <c:pt idx="29">
                  <c:v>800</c:v>
                </c:pt>
                <c:pt idx="30">
                  <c:v>950</c:v>
                </c:pt>
                <c:pt idx="31">
                  <c:v>1650</c:v>
                </c:pt>
                <c:pt idx="32">
                  <c:v>1100</c:v>
                </c:pt>
                <c:pt idx="33">
                  <c:v>948</c:v>
                </c:pt>
                <c:pt idx="34">
                  <c:v>1030</c:v>
                </c:pt>
                <c:pt idx="35">
                  <c:v>185</c:v>
                </c:pt>
                <c:pt idx="36">
                  <c:v>511</c:v>
                </c:pt>
                <c:pt idx="37">
                  <c:v>865</c:v>
                </c:pt>
                <c:pt idx="38">
                  <c:v>1367</c:v>
                </c:pt>
                <c:pt idx="39">
                  <c:v>2310</c:v>
                </c:pt>
                <c:pt idx="40">
                  <c:v>2380</c:v>
                </c:pt>
                <c:pt idx="41">
                  <c:v>870</c:v>
                </c:pt>
                <c:pt idx="42">
                  <c:v>2200</c:v>
                </c:pt>
                <c:pt idx="43">
                  <c:v>895</c:v>
                </c:pt>
                <c:pt idx="44">
                  <c:v>1300</c:v>
                </c:pt>
                <c:pt idx="45">
                  <c:v>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96-4A68-84C8-99D25C5B7965}"/>
            </c:ext>
          </c:extLst>
        </c:ser>
        <c:ser>
          <c:idx val="1"/>
          <c:order val="1"/>
          <c:tx>
            <c:v>Model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trendline>
            <c:spPr>
              <a:ln w="127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Lit>
              <c:formatCode>General</c:formatCode>
              <c:ptCount val="2"/>
              <c:pt idx="0">
                <c:v>20</c:v>
              </c:pt>
              <c:pt idx="1">
                <c:v>373</c:v>
              </c:pt>
            </c:numLit>
          </c:xVal>
          <c:yVal>
            <c:numLit>
              <c:formatCode>General</c:formatCode>
              <c:ptCount val="2"/>
              <c:pt idx="0">
                <c:v>241.12446696906699</c:v>
              </c:pt>
              <c:pt idx="1">
                <c:v>3574.6123341124298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696-4A68-84C8-99D25C5B7965}"/>
            </c:ext>
          </c:extLst>
        </c:ser>
        <c:ser>
          <c:idx val="2"/>
          <c:order val="2"/>
          <c:tx>
            <c:v>Conf. interval (Mean 95%)</c:v>
          </c:tx>
          <c:spPr>
            <a:ln w="12700">
              <a:solidFill>
                <a:srgbClr val="C0C0C0"/>
              </a:solidFill>
              <a:prstDash val="sysDash"/>
            </a:ln>
          </c:spPr>
          <c:marker>
            <c:symbol val="square"/>
            <c:size val="5"/>
            <c:spPr>
              <a:noFill/>
              <a:ln w="6350">
                <a:noFill/>
              </a:ln>
            </c:spPr>
          </c:marker>
          <c:xVal>
            <c:numRef>
              <c:f>Solutions!xdata1</c:f>
              <c:numCache>
                <c:formatCode>General</c:formatCode>
                <c:ptCount val="70"/>
                <c:pt idx="0">
                  <c:v>40.463768115942045</c:v>
                </c:pt>
                <c:pt idx="1">
                  <c:v>45.579710144927553</c:v>
                </c:pt>
                <c:pt idx="2">
                  <c:v>50.695652173913061</c:v>
                </c:pt>
                <c:pt idx="3">
                  <c:v>55.811594202898576</c:v>
                </c:pt>
                <c:pt idx="4">
                  <c:v>60.927536231884083</c:v>
                </c:pt>
                <c:pt idx="5">
                  <c:v>66.043478260869591</c:v>
                </c:pt>
                <c:pt idx="6">
                  <c:v>71.159420289855106</c:v>
                </c:pt>
                <c:pt idx="7">
                  <c:v>76.275362318840621</c:v>
                </c:pt>
                <c:pt idx="8">
                  <c:v>81.391304347826122</c:v>
                </c:pt>
                <c:pt idx="9">
                  <c:v>86.507246376811636</c:v>
                </c:pt>
                <c:pt idx="10">
                  <c:v>91.623188405797151</c:v>
                </c:pt>
                <c:pt idx="11">
                  <c:v>96.739130434782652</c:v>
                </c:pt>
                <c:pt idx="12">
                  <c:v>101.85507246376817</c:v>
                </c:pt>
                <c:pt idx="13">
                  <c:v>106.97101449275368</c:v>
                </c:pt>
                <c:pt idx="14">
                  <c:v>112.08695652173918</c:v>
                </c:pt>
                <c:pt idx="15">
                  <c:v>117.2028985507247</c:v>
                </c:pt>
                <c:pt idx="16">
                  <c:v>122.31884057971021</c:v>
                </c:pt>
                <c:pt idx="17">
                  <c:v>127.43478260869571</c:v>
                </c:pt>
                <c:pt idx="18">
                  <c:v>132.55072463768124</c:v>
                </c:pt>
                <c:pt idx="19">
                  <c:v>137.66666666666674</c:v>
                </c:pt>
                <c:pt idx="20">
                  <c:v>142.78260869565224</c:v>
                </c:pt>
                <c:pt idx="21">
                  <c:v>147.89855072463774</c:v>
                </c:pt>
                <c:pt idx="22">
                  <c:v>153.01449275362327</c:v>
                </c:pt>
                <c:pt idx="23">
                  <c:v>158.13043478260877</c:v>
                </c:pt>
                <c:pt idx="24">
                  <c:v>163.2463768115943</c:v>
                </c:pt>
                <c:pt idx="25">
                  <c:v>168.3623188405798</c:v>
                </c:pt>
                <c:pt idx="26">
                  <c:v>173.4782608695653</c:v>
                </c:pt>
                <c:pt idx="27">
                  <c:v>178.59420289855083</c:v>
                </c:pt>
                <c:pt idx="28">
                  <c:v>183.71014492753633</c:v>
                </c:pt>
                <c:pt idx="29">
                  <c:v>188.82608695652183</c:v>
                </c:pt>
                <c:pt idx="30">
                  <c:v>193.94202898550736</c:v>
                </c:pt>
                <c:pt idx="31">
                  <c:v>199.05797101449286</c:v>
                </c:pt>
                <c:pt idx="32">
                  <c:v>204.17391304347836</c:v>
                </c:pt>
                <c:pt idx="33">
                  <c:v>209.28985507246389</c:v>
                </c:pt>
                <c:pt idx="34">
                  <c:v>214.40579710144939</c:v>
                </c:pt>
                <c:pt idx="35">
                  <c:v>219.5217391304349</c:v>
                </c:pt>
                <c:pt idx="36">
                  <c:v>224.63768115942042</c:v>
                </c:pt>
                <c:pt idx="37">
                  <c:v>229.75362318840592</c:v>
                </c:pt>
                <c:pt idx="38">
                  <c:v>234.86956521739143</c:v>
                </c:pt>
                <c:pt idx="39">
                  <c:v>239.98550724637695</c:v>
                </c:pt>
                <c:pt idx="40">
                  <c:v>245.10144927536246</c:v>
                </c:pt>
                <c:pt idx="41">
                  <c:v>250.21739130434796</c:v>
                </c:pt>
                <c:pt idx="42">
                  <c:v>255.33333333333348</c:v>
                </c:pt>
                <c:pt idx="43">
                  <c:v>260.44927536231899</c:v>
                </c:pt>
                <c:pt idx="44">
                  <c:v>265.56521739130449</c:v>
                </c:pt>
                <c:pt idx="45">
                  <c:v>270.68115942028999</c:v>
                </c:pt>
                <c:pt idx="46">
                  <c:v>275.79710144927549</c:v>
                </c:pt>
                <c:pt idx="47">
                  <c:v>280.91304347826105</c:v>
                </c:pt>
                <c:pt idx="48">
                  <c:v>286.02898550724655</c:v>
                </c:pt>
                <c:pt idx="49">
                  <c:v>291.14492753623205</c:v>
                </c:pt>
                <c:pt idx="50">
                  <c:v>296.26086956521755</c:v>
                </c:pt>
                <c:pt idx="51">
                  <c:v>301.37681159420305</c:v>
                </c:pt>
                <c:pt idx="52">
                  <c:v>306.49275362318861</c:v>
                </c:pt>
                <c:pt idx="53">
                  <c:v>311.60869565217411</c:v>
                </c:pt>
                <c:pt idx="54">
                  <c:v>316.72463768115961</c:v>
                </c:pt>
                <c:pt idx="55">
                  <c:v>321.84057971014511</c:v>
                </c:pt>
                <c:pt idx="56">
                  <c:v>326.95652173913061</c:v>
                </c:pt>
                <c:pt idx="57">
                  <c:v>332.07246376811611</c:v>
                </c:pt>
                <c:pt idx="58">
                  <c:v>337.18840579710167</c:v>
                </c:pt>
                <c:pt idx="59">
                  <c:v>342.30434782608717</c:v>
                </c:pt>
                <c:pt idx="60">
                  <c:v>347.42028985507267</c:v>
                </c:pt>
                <c:pt idx="61">
                  <c:v>352.53623188405817</c:v>
                </c:pt>
                <c:pt idx="62">
                  <c:v>357.65217391304367</c:v>
                </c:pt>
                <c:pt idx="63">
                  <c:v>362.76811594202923</c:v>
                </c:pt>
                <c:pt idx="64">
                  <c:v>367.88405797101473</c:v>
                </c:pt>
                <c:pt idx="65">
                  <c:v>373.00000000000023</c:v>
                </c:pt>
                <c:pt idx="66">
                  <c:v>378.11594202898573</c:v>
                </c:pt>
                <c:pt idx="67">
                  <c:v>383.23188405797123</c:v>
                </c:pt>
                <c:pt idx="68">
                  <c:v>388.34782608695673</c:v>
                </c:pt>
                <c:pt idx="69">
                  <c:v>393.46376811594229</c:v>
                </c:pt>
              </c:numCache>
            </c:numRef>
          </c:xVal>
          <c:yVal>
            <c:numRef>
              <c:f>Solutions!ydata1</c:f>
              <c:numCache>
                <c:formatCode>General</c:formatCode>
                <c:ptCount val="70"/>
                <c:pt idx="0">
                  <c:v>334.79595951775491</c:v>
                </c:pt>
                <c:pt idx="1">
                  <c:v>387.29278895986624</c:v>
                </c:pt>
                <c:pt idx="2">
                  <c:v>439.61945099812141</c:v>
                </c:pt>
                <c:pt idx="3">
                  <c:v>491.75253019860332</c:v>
                </c:pt>
                <c:pt idx="4">
                  <c:v>543.66558502021599</c:v>
                </c:pt>
                <c:pt idx="5">
                  <c:v>595.32911379849043</c:v>
                </c:pt>
                <c:pt idx="6">
                  <c:v>646.71074315143665</c:v>
                </c:pt>
                <c:pt idx="7">
                  <c:v>697.77574090066094</c:v>
                </c:pt>
                <c:pt idx="8">
                  <c:v>748.48795758419328</c:v>
                </c:pt>
                <c:pt idx="9">
                  <c:v>798.81127236734983</c:v>
                </c:pt>
                <c:pt idx="10">
                  <c:v>848.71154567002441</c:v>
                </c:pt>
                <c:pt idx="11">
                  <c:v>898.15895793095319</c:v>
                </c:pt>
                <c:pt idx="12">
                  <c:v>947.130462213643</c:v>
                </c:pt>
                <c:pt idx="13">
                  <c:v>995.61195033749186</c:v>
                </c:pt>
                <c:pt idx="14">
                  <c:v>1043.5996979376782</c:v>
                </c:pt>
                <c:pt idx="15">
                  <c:v>1091.1007612197268</c:v>
                </c:pt>
                <c:pt idx="16">
                  <c:v>1138.1322306917875</c:v>
                </c:pt>
                <c:pt idx="17">
                  <c:v>1184.7195183222682</c:v>
                </c:pt>
                <c:pt idx="18">
                  <c:v>1230.8940545702828</c:v>
                </c:pt>
                <c:pt idx="19">
                  <c:v>1276.6908331113918</c:v>
                </c:pt>
                <c:pt idx="20">
                  <c:v>1322.1461704452063</c:v>
                </c:pt>
                <c:pt idx="21">
                  <c:v>1367.2959048876251</c:v>
                </c:pt>
                <c:pt idx="22">
                  <c:v>1412.1741125465883</c:v>
                </c:pt>
                <c:pt idx="23">
                  <c:v>1456.8123095972671</c:v>
                </c:pt>
                <c:pt idx="24">
                  <c:v>1501.2390520013871</c:v>
                </c:pt>
                <c:pt idx="25">
                  <c:v>1545.479826739627</c:v>
                </c:pt>
                <c:pt idx="26">
                  <c:v>1589.5571367726914</c:v>
                </c:pt>
                <c:pt idx="27">
                  <c:v>1633.4907012766791</c:v>
                </c:pt>
                <c:pt idx="28">
                  <c:v>1677.2977140410067</c:v>
                </c:pt>
                <c:pt idx="29">
                  <c:v>1720.9931216352522</c:v>
                </c:pt>
                <c:pt idx="30">
                  <c:v>1764.5898974610307</c:v>
                </c:pt>
                <c:pt idx="31">
                  <c:v>1808.0992981603342</c:v>
                </c:pt>
                <c:pt idx="32">
                  <c:v>1851.5310957800841</c:v>
                </c:pt>
                <c:pt idx="33">
                  <c:v>1894.8937834631588</c:v>
                </c:pt>
                <c:pt idx="34">
                  <c:v>1938.1947550216628</c:v>
                </c:pt>
                <c:pt idx="35">
                  <c:v>1981.4404601506853</c:v>
                </c:pt>
                <c:pt idx="36">
                  <c:v>2024.6365376944113</c:v>
                </c:pt>
                <c:pt idx="37">
                  <c:v>2067.7879295778771</c:v>
                </c:pt>
                <c:pt idx="38">
                  <c:v>2110.8989779616031</c:v>
                </c:pt>
                <c:pt idx="39">
                  <c:v>2153.9735079860125</c:v>
                </c:pt>
                <c:pt idx="40">
                  <c:v>2197.0148982231808</c:v>
                </c:pt>
                <c:pt idx="41">
                  <c:v>2240.0261406890741</c:v>
                </c:pt>
                <c:pt idx="42">
                  <c:v>2283.0098920142736</c:v>
                </c:pt>
                <c:pt idx="43">
                  <c:v>2325.9685171374558</c:v>
                </c:pt>
                <c:pt idx="44">
                  <c:v>2368.9041266784698</c:v>
                </c:pt>
                <c:pt idx="45">
                  <c:v>2411.818608967641</c:v>
                </c:pt>
                <c:pt idx="46">
                  <c:v>2454.7136575534541</c:v>
                </c:pt>
                <c:pt idx="47">
                  <c:v>2497.590794879688</c:v>
                </c:pt>
                <c:pt idx="48">
                  <c:v>2540.4513927125072</c:v>
                </c:pt>
                <c:pt idx="49">
                  <c:v>2583.2966898052146</c:v>
                </c:pt>
                <c:pt idx="50">
                  <c:v>2626.1278072106211</c:v>
                </c:pt>
                <c:pt idx="51">
                  <c:v>2668.9457615860219</c:v>
                </c:pt>
                <c:pt idx="52">
                  <c:v>2711.7514767814778</c:v>
                </c:pt>
                <c:pt idx="53">
                  <c:v>2754.5457939567495</c:v>
                </c:pt>
                <c:pt idx="54">
                  <c:v>2797.3294804343254</c:v>
                </c:pt>
                <c:pt idx="55">
                  <c:v>2840.1032374642496</c:v>
                </c:pt>
                <c:pt idx="56">
                  <c:v>2882.8677070499225</c:v>
                </c:pt>
                <c:pt idx="57">
                  <c:v>2925.623477961728</c:v>
                </c:pt>
                <c:pt idx="58">
                  <c:v>2968.3710910466361</c:v>
                </c:pt>
                <c:pt idx="59">
                  <c:v>3011.1110439261565</c:v>
                </c:pt>
                <c:pt idx="60">
                  <c:v>3053.8437951617352</c:v>
                </c:pt>
                <c:pt idx="61">
                  <c:v>3096.5697679554373</c:v>
                </c:pt>
                <c:pt idx="62">
                  <c:v>3139.2893534442742</c:v>
                </c:pt>
                <c:pt idx="63">
                  <c:v>3182.0029136384323</c:v>
                </c:pt>
                <c:pt idx="64">
                  <c:v>3224.7107840468298</c:v>
                </c:pt>
                <c:pt idx="65">
                  <c:v>3267.4132760275616</c:v>
                </c:pt>
                <c:pt idx="66">
                  <c:v>3310.1106788958145</c:v>
                </c:pt>
                <c:pt idx="67">
                  <c:v>3352.8032618175562</c:v>
                </c:pt>
                <c:pt idx="68">
                  <c:v>3395.491275513647</c:v>
                </c:pt>
                <c:pt idx="69">
                  <c:v>3438.1749537958849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96-4A68-84C8-99D25C5B7965}"/>
            </c:ext>
          </c:extLst>
        </c:ser>
        <c:ser>
          <c:idx val="3"/>
          <c:order val="3"/>
          <c:spPr>
            <a:ln w="12700">
              <a:solidFill>
                <a:srgbClr val="C0C0C0"/>
              </a:solidFill>
              <a:prstDash val="sysDash"/>
            </a:ln>
          </c:spPr>
          <c:marker>
            <c:symbol val="square"/>
            <c:size val="5"/>
            <c:spPr>
              <a:noFill/>
              <a:ln w="6350">
                <a:noFill/>
              </a:ln>
            </c:spPr>
          </c:marker>
          <c:xVal>
            <c:numRef>
              <c:f>Solutions!xdata2</c:f>
              <c:numCache>
                <c:formatCode>General</c:formatCode>
                <c:ptCount val="70"/>
                <c:pt idx="0">
                  <c:v>40.463768115942045</c:v>
                </c:pt>
                <c:pt idx="1">
                  <c:v>45.579710144927553</c:v>
                </c:pt>
                <c:pt idx="2">
                  <c:v>50.695652173913061</c:v>
                </c:pt>
                <c:pt idx="3">
                  <c:v>55.811594202898576</c:v>
                </c:pt>
                <c:pt idx="4">
                  <c:v>60.927536231884083</c:v>
                </c:pt>
                <c:pt idx="5">
                  <c:v>66.043478260869591</c:v>
                </c:pt>
                <c:pt idx="6">
                  <c:v>71.159420289855106</c:v>
                </c:pt>
                <c:pt idx="7">
                  <c:v>76.275362318840621</c:v>
                </c:pt>
                <c:pt idx="8">
                  <c:v>81.391304347826122</c:v>
                </c:pt>
                <c:pt idx="9">
                  <c:v>86.507246376811636</c:v>
                </c:pt>
                <c:pt idx="10">
                  <c:v>91.623188405797151</c:v>
                </c:pt>
                <c:pt idx="11">
                  <c:v>96.739130434782652</c:v>
                </c:pt>
                <c:pt idx="12">
                  <c:v>101.85507246376817</c:v>
                </c:pt>
                <c:pt idx="13">
                  <c:v>106.97101449275368</c:v>
                </c:pt>
                <c:pt idx="14">
                  <c:v>112.08695652173918</c:v>
                </c:pt>
                <c:pt idx="15">
                  <c:v>117.2028985507247</c:v>
                </c:pt>
                <c:pt idx="16">
                  <c:v>122.31884057971021</c:v>
                </c:pt>
                <c:pt idx="17">
                  <c:v>127.43478260869571</c:v>
                </c:pt>
                <c:pt idx="18">
                  <c:v>132.55072463768124</c:v>
                </c:pt>
                <c:pt idx="19">
                  <c:v>137.66666666666674</c:v>
                </c:pt>
                <c:pt idx="20">
                  <c:v>142.78260869565224</c:v>
                </c:pt>
                <c:pt idx="21">
                  <c:v>147.89855072463774</c:v>
                </c:pt>
                <c:pt idx="22">
                  <c:v>153.01449275362327</c:v>
                </c:pt>
                <c:pt idx="23">
                  <c:v>158.13043478260877</c:v>
                </c:pt>
                <c:pt idx="24">
                  <c:v>163.2463768115943</c:v>
                </c:pt>
                <c:pt idx="25">
                  <c:v>168.3623188405798</c:v>
                </c:pt>
                <c:pt idx="26">
                  <c:v>173.4782608695653</c:v>
                </c:pt>
                <c:pt idx="27">
                  <c:v>178.59420289855083</c:v>
                </c:pt>
                <c:pt idx="28">
                  <c:v>183.71014492753633</c:v>
                </c:pt>
                <c:pt idx="29">
                  <c:v>188.82608695652183</c:v>
                </c:pt>
                <c:pt idx="30">
                  <c:v>193.94202898550736</c:v>
                </c:pt>
                <c:pt idx="31">
                  <c:v>199.05797101449286</c:v>
                </c:pt>
                <c:pt idx="32">
                  <c:v>204.17391304347836</c:v>
                </c:pt>
                <c:pt idx="33">
                  <c:v>209.28985507246389</c:v>
                </c:pt>
                <c:pt idx="34">
                  <c:v>214.40579710144939</c:v>
                </c:pt>
                <c:pt idx="35">
                  <c:v>219.5217391304349</c:v>
                </c:pt>
                <c:pt idx="36">
                  <c:v>224.63768115942042</c:v>
                </c:pt>
                <c:pt idx="37">
                  <c:v>229.75362318840592</c:v>
                </c:pt>
                <c:pt idx="38">
                  <c:v>234.86956521739143</c:v>
                </c:pt>
                <c:pt idx="39">
                  <c:v>239.98550724637695</c:v>
                </c:pt>
                <c:pt idx="40">
                  <c:v>245.10144927536246</c:v>
                </c:pt>
                <c:pt idx="41">
                  <c:v>250.21739130434796</c:v>
                </c:pt>
                <c:pt idx="42">
                  <c:v>255.33333333333348</c:v>
                </c:pt>
                <c:pt idx="43">
                  <c:v>260.44927536231899</c:v>
                </c:pt>
                <c:pt idx="44">
                  <c:v>265.56521739130449</c:v>
                </c:pt>
                <c:pt idx="45">
                  <c:v>270.68115942028999</c:v>
                </c:pt>
                <c:pt idx="46">
                  <c:v>275.79710144927549</c:v>
                </c:pt>
                <c:pt idx="47">
                  <c:v>280.91304347826105</c:v>
                </c:pt>
                <c:pt idx="48">
                  <c:v>286.02898550724655</c:v>
                </c:pt>
                <c:pt idx="49">
                  <c:v>291.14492753623205</c:v>
                </c:pt>
                <c:pt idx="50">
                  <c:v>296.26086956521755</c:v>
                </c:pt>
                <c:pt idx="51">
                  <c:v>301.37681159420305</c:v>
                </c:pt>
                <c:pt idx="52">
                  <c:v>306.49275362318861</c:v>
                </c:pt>
                <c:pt idx="53">
                  <c:v>311.60869565217411</c:v>
                </c:pt>
                <c:pt idx="54">
                  <c:v>316.72463768115961</c:v>
                </c:pt>
                <c:pt idx="55">
                  <c:v>321.84057971014511</c:v>
                </c:pt>
                <c:pt idx="56">
                  <c:v>326.95652173913061</c:v>
                </c:pt>
                <c:pt idx="57">
                  <c:v>332.07246376811611</c:v>
                </c:pt>
                <c:pt idx="58">
                  <c:v>337.18840579710167</c:v>
                </c:pt>
                <c:pt idx="59">
                  <c:v>342.30434782608717</c:v>
                </c:pt>
                <c:pt idx="60">
                  <c:v>347.42028985507267</c:v>
                </c:pt>
                <c:pt idx="61">
                  <c:v>352.53623188405817</c:v>
                </c:pt>
                <c:pt idx="62">
                  <c:v>357.65217391304367</c:v>
                </c:pt>
                <c:pt idx="63">
                  <c:v>362.76811594202923</c:v>
                </c:pt>
                <c:pt idx="64">
                  <c:v>367.88405797101473</c:v>
                </c:pt>
                <c:pt idx="65">
                  <c:v>373.00000000000023</c:v>
                </c:pt>
                <c:pt idx="66">
                  <c:v>378.11594202898573</c:v>
                </c:pt>
                <c:pt idx="67">
                  <c:v>383.23188405797123</c:v>
                </c:pt>
                <c:pt idx="68">
                  <c:v>388.34782608695673</c:v>
                </c:pt>
                <c:pt idx="69">
                  <c:v>393.46376811594229</c:v>
                </c:pt>
              </c:numCache>
            </c:numRef>
          </c:xVal>
          <c:yVal>
            <c:numRef>
              <c:f>Solutions!ydata2</c:f>
              <c:numCache>
                <c:formatCode>General</c:formatCode>
                <c:ptCount val="70"/>
                <c:pt idx="0">
                  <c:v>533.94432133555267</c:v>
                </c:pt>
                <c:pt idx="1">
                  <c:v>578.07032862223446</c:v>
                </c:pt>
                <c:pt idx="2">
                  <c:v>622.36650331277224</c:v>
                </c:pt>
                <c:pt idx="3">
                  <c:v>666.85626084108344</c:v>
                </c:pt>
                <c:pt idx="4">
                  <c:v>711.56604274826395</c:v>
                </c:pt>
                <c:pt idx="5">
                  <c:v>756.52535069878263</c:v>
                </c:pt>
                <c:pt idx="6">
                  <c:v>801.76655807462953</c:v>
                </c:pt>
                <c:pt idx="7">
                  <c:v>847.32439705419858</c:v>
                </c:pt>
                <c:pt idx="8">
                  <c:v>893.23501709945913</c:v>
                </c:pt>
                <c:pt idx="9">
                  <c:v>939.5345390450957</c:v>
                </c:pt>
                <c:pt idx="10">
                  <c:v>986.25710247121447</c:v>
                </c:pt>
                <c:pt idx="11">
                  <c:v>1033.4325269390786</c:v>
                </c:pt>
                <c:pt idx="12">
                  <c:v>1081.0838593851818</c:v>
                </c:pt>
                <c:pt idx="13">
                  <c:v>1129.2252079901261</c:v>
                </c:pt>
                <c:pt idx="14">
                  <c:v>1177.8602971187324</c:v>
                </c:pt>
                <c:pt idx="15">
                  <c:v>1226.982070565477</c:v>
                </c:pt>
                <c:pt idx="16">
                  <c:v>1276.5734378222098</c:v>
                </c:pt>
                <c:pt idx="17">
                  <c:v>1326.6089869205218</c:v>
                </c:pt>
                <c:pt idx="18">
                  <c:v>1377.0572874013008</c:v>
                </c:pt>
                <c:pt idx="19">
                  <c:v>1427.8833455889849</c:v>
                </c:pt>
                <c:pt idx="20">
                  <c:v>1479.0508449839631</c:v>
                </c:pt>
                <c:pt idx="21">
                  <c:v>1530.5239472703374</c:v>
                </c:pt>
                <c:pt idx="22">
                  <c:v>1582.2685763401678</c:v>
                </c:pt>
                <c:pt idx="23">
                  <c:v>1634.2532160182816</c:v>
                </c:pt>
                <c:pt idx="24">
                  <c:v>1686.4493103429552</c:v>
                </c:pt>
                <c:pt idx="25">
                  <c:v>1738.8313723335084</c:v>
                </c:pt>
                <c:pt idx="26">
                  <c:v>1791.3768990292367</c:v>
                </c:pt>
                <c:pt idx="27">
                  <c:v>1844.0661712540425</c:v>
                </c:pt>
                <c:pt idx="28">
                  <c:v>1896.8819952185077</c:v>
                </c:pt>
                <c:pt idx="29">
                  <c:v>1949.8094243530552</c:v>
                </c:pt>
                <c:pt idx="30">
                  <c:v>2002.8354852560703</c:v>
                </c:pt>
                <c:pt idx="31">
                  <c:v>2055.9489212855592</c:v>
                </c:pt>
                <c:pt idx="32">
                  <c:v>2109.1399603946029</c:v>
                </c:pt>
                <c:pt idx="33">
                  <c:v>2162.4001094403216</c:v>
                </c:pt>
                <c:pt idx="34">
                  <c:v>2215.7219746106102</c:v>
                </c:pt>
                <c:pt idx="35">
                  <c:v>2269.0991062103808</c:v>
                </c:pt>
                <c:pt idx="36">
                  <c:v>2322.5258653954479</c:v>
                </c:pt>
                <c:pt idx="37">
                  <c:v>2375.9973102407753</c:v>
                </c:pt>
                <c:pt idx="38">
                  <c:v>2429.5090985858424</c:v>
                </c:pt>
                <c:pt idx="39">
                  <c:v>2483.0574052902261</c:v>
                </c:pt>
                <c:pt idx="40">
                  <c:v>2536.6388517818509</c:v>
                </c:pt>
                <c:pt idx="41">
                  <c:v>2590.2504460447508</c:v>
                </c:pt>
                <c:pt idx="42">
                  <c:v>2643.8895314483443</c:v>
                </c:pt>
                <c:pt idx="43">
                  <c:v>2697.5537430539553</c:v>
                </c:pt>
                <c:pt idx="44">
                  <c:v>2751.2409702417344</c:v>
                </c:pt>
                <c:pt idx="45">
                  <c:v>2804.9493246813563</c:v>
                </c:pt>
                <c:pt idx="46">
                  <c:v>2858.6771128243354</c:v>
                </c:pt>
                <c:pt idx="47">
                  <c:v>2912.4228122268955</c:v>
                </c:pt>
                <c:pt idx="48">
                  <c:v>2966.1850511228695</c:v>
                </c:pt>
                <c:pt idx="49">
                  <c:v>3019.9625907589552</c:v>
                </c:pt>
                <c:pt idx="50">
                  <c:v>3073.7543100823418</c:v>
                </c:pt>
                <c:pt idx="51">
                  <c:v>3127.5591924357341</c:v>
                </c:pt>
                <c:pt idx="52">
                  <c:v>3181.3763139690723</c:v>
                </c:pt>
                <c:pt idx="53">
                  <c:v>3235.2048335225927</c:v>
                </c:pt>
                <c:pt idx="54">
                  <c:v>3289.0439837738099</c:v>
                </c:pt>
                <c:pt idx="55">
                  <c:v>3342.8930634726789</c:v>
                </c:pt>
                <c:pt idx="56">
                  <c:v>3396.7514306157991</c:v>
                </c:pt>
                <c:pt idx="57">
                  <c:v>3450.6184964327867</c:v>
                </c:pt>
                <c:pt idx="58">
                  <c:v>3504.4937200766726</c:v>
                </c:pt>
                <c:pt idx="59">
                  <c:v>3558.3766039259444</c:v>
                </c:pt>
                <c:pt idx="60">
                  <c:v>3612.2666894191589</c:v>
                </c:pt>
                <c:pt idx="61">
                  <c:v>3666.1635533542499</c:v>
                </c:pt>
                <c:pt idx="62">
                  <c:v>3720.0668045942061</c:v>
                </c:pt>
                <c:pt idx="63">
                  <c:v>3773.976081128842</c:v>
                </c:pt>
                <c:pt idx="64">
                  <c:v>3827.8910474492377</c:v>
                </c:pt>
                <c:pt idx="65">
                  <c:v>3881.8113921972981</c:v>
                </c:pt>
                <c:pt idx="66">
                  <c:v>3935.7368260578382</c:v>
                </c:pt>
                <c:pt idx="67">
                  <c:v>3989.6670798648897</c:v>
                </c:pt>
                <c:pt idx="68">
                  <c:v>4043.601902897592</c:v>
                </c:pt>
                <c:pt idx="69">
                  <c:v>4097.5410613441481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96-4A68-84C8-99D25C5B7965}"/>
            </c:ext>
          </c:extLst>
        </c:ser>
        <c:ser>
          <c:idx val="4"/>
          <c:order val="4"/>
          <c:tx>
            <c:v>Conf. interval (Obs. 95%)</c:v>
          </c:tx>
          <c:spPr>
            <a:ln w="12700">
              <a:solidFill>
                <a:srgbClr val="C0C0C0"/>
              </a:solidFill>
              <a:prstDash val="solid"/>
            </a:ln>
          </c:spPr>
          <c:marker>
            <c:symbol val="square"/>
            <c:size val="5"/>
            <c:spPr>
              <a:noFill/>
              <a:ln w="6350">
                <a:noFill/>
              </a:ln>
            </c:spPr>
          </c:marker>
          <c:xVal>
            <c:numRef>
              <c:f>Solutions!xdata3</c:f>
              <c:numCache>
                <c:formatCode>General</c:formatCode>
                <c:ptCount val="100"/>
                <c:pt idx="0">
                  <c:v>34.262626262626284</c:v>
                </c:pt>
                <c:pt idx="1">
                  <c:v>37.828282828282852</c:v>
                </c:pt>
                <c:pt idx="2">
                  <c:v>41.393939393939419</c:v>
                </c:pt>
                <c:pt idx="3">
                  <c:v>44.959595959595987</c:v>
                </c:pt>
                <c:pt idx="4">
                  <c:v>48.525252525252561</c:v>
                </c:pt>
                <c:pt idx="5">
                  <c:v>52.090909090909129</c:v>
                </c:pt>
                <c:pt idx="6">
                  <c:v>55.656565656565704</c:v>
                </c:pt>
                <c:pt idx="7">
                  <c:v>59.222222222222271</c:v>
                </c:pt>
                <c:pt idx="8">
                  <c:v>62.787878787878839</c:v>
                </c:pt>
                <c:pt idx="9">
                  <c:v>66.35353535353542</c:v>
                </c:pt>
                <c:pt idx="10">
                  <c:v>69.919191919191974</c:v>
                </c:pt>
                <c:pt idx="11">
                  <c:v>73.484848484848555</c:v>
                </c:pt>
                <c:pt idx="12">
                  <c:v>77.050505050505123</c:v>
                </c:pt>
                <c:pt idx="13">
                  <c:v>80.616161616161691</c:v>
                </c:pt>
                <c:pt idx="14">
                  <c:v>84.181818181818258</c:v>
                </c:pt>
                <c:pt idx="15">
                  <c:v>87.74747474747484</c:v>
                </c:pt>
                <c:pt idx="16">
                  <c:v>91.313131313131407</c:v>
                </c:pt>
                <c:pt idx="17">
                  <c:v>94.878787878787975</c:v>
                </c:pt>
                <c:pt idx="18">
                  <c:v>98.444444444444542</c:v>
                </c:pt>
                <c:pt idx="19">
                  <c:v>102.01010101010111</c:v>
                </c:pt>
                <c:pt idx="20">
                  <c:v>105.57575757575768</c:v>
                </c:pt>
                <c:pt idx="21">
                  <c:v>109.14141414141426</c:v>
                </c:pt>
                <c:pt idx="22">
                  <c:v>112.70707070707083</c:v>
                </c:pt>
                <c:pt idx="23">
                  <c:v>116.27272727272739</c:v>
                </c:pt>
                <c:pt idx="24">
                  <c:v>119.83838383838396</c:v>
                </c:pt>
                <c:pt idx="25">
                  <c:v>123.40404040404053</c:v>
                </c:pt>
                <c:pt idx="26">
                  <c:v>126.96969696969711</c:v>
                </c:pt>
                <c:pt idx="27">
                  <c:v>130.53535353535369</c:v>
                </c:pt>
                <c:pt idx="28">
                  <c:v>134.10101010101025</c:v>
                </c:pt>
                <c:pt idx="29">
                  <c:v>137.6666666666668</c:v>
                </c:pt>
                <c:pt idx="30">
                  <c:v>141.23232323232338</c:v>
                </c:pt>
                <c:pt idx="31">
                  <c:v>144.79797979797996</c:v>
                </c:pt>
                <c:pt idx="32">
                  <c:v>148.36363636363652</c:v>
                </c:pt>
                <c:pt idx="33">
                  <c:v>151.9292929292931</c:v>
                </c:pt>
                <c:pt idx="34">
                  <c:v>155.49494949494968</c:v>
                </c:pt>
                <c:pt idx="35">
                  <c:v>159.06060606060623</c:v>
                </c:pt>
                <c:pt idx="36">
                  <c:v>162.62626262626281</c:v>
                </c:pt>
                <c:pt idx="37">
                  <c:v>166.19191919191937</c:v>
                </c:pt>
                <c:pt idx="38">
                  <c:v>169.75757575757595</c:v>
                </c:pt>
                <c:pt idx="39">
                  <c:v>173.32323232323253</c:v>
                </c:pt>
                <c:pt idx="40">
                  <c:v>176.88888888888908</c:v>
                </c:pt>
                <c:pt idx="41">
                  <c:v>180.45454545454567</c:v>
                </c:pt>
                <c:pt idx="42">
                  <c:v>184.02020202020222</c:v>
                </c:pt>
                <c:pt idx="43">
                  <c:v>187.5858585858588</c:v>
                </c:pt>
                <c:pt idx="44">
                  <c:v>191.15151515151535</c:v>
                </c:pt>
                <c:pt idx="45">
                  <c:v>194.71717171717194</c:v>
                </c:pt>
                <c:pt idx="46">
                  <c:v>198.28282828282852</c:v>
                </c:pt>
                <c:pt idx="47">
                  <c:v>201.84848484848507</c:v>
                </c:pt>
                <c:pt idx="48">
                  <c:v>205.41414141414165</c:v>
                </c:pt>
                <c:pt idx="49">
                  <c:v>208.97979797979821</c:v>
                </c:pt>
                <c:pt idx="50">
                  <c:v>212.54545454545479</c:v>
                </c:pt>
                <c:pt idx="51">
                  <c:v>216.11111111111137</c:v>
                </c:pt>
                <c:pt idx="52">
                  <c:v>219.67676767676792</c:v>
                </c:pt>
                <c:pt idx="53">
                  <c:v>223.24242424242451</c:v>
                </c:pt>
                <c:pt idx="54">
                  <c:v>226.80808080808106</c:v>
                </c:pt>
                <c:pt idx="55">
                  <c:v>230.37373737373764</c:v>
                </c:pt>
                <c:pt idx="56">
                  <c:v>233.93939393939422</c:v>
                </c:pt>
                <c:pt idx="57">
                  <c:v>237.50505050505078</c:v>
                </c:pt>
                <c:pt idx="58">
                  <c:v>241.07070707070736</c:v>
                </c:pt>
                <c:pt idx="59">
                  <c:v>244.63636363636391</c:v>
                </c:pt>
                <c:pt idx="60">
                  <c:v>248.20202020202049</c:v>
                </c:pt>
                <c:pt idx="61">
                  <c:v>251.76767676767707</c:v>
                </c:pt>
                <c:pt idx="62">
                  <c:v>255.33333333333363</c:v>
                </c:pt>
                <c:pt idx="63">
                  <c:v>258.89898989899018</c:v>
                </c:pt>
                <c:pt idx="64">
                  <c:v>262.46464646464676</c:v>
                </c:pt>
                <c:pt idx="65">
                  <c:v>266.03030303030334</c:v>
                </c:pt>
                <c:pt idx="66">
                  <c:v>269.59595959595993</c:v>
                </c:pt>
                <c:pt idx="67">
                  <c:v>273.16161616161651</c:v>
                </c:pt>
                <c:pt idx="68">
                  <c:v>276.72727272727303</c:v>
                </c:pt>
                <c:pt idx="69">
                  <c:v>280.29292929292961</c:v>
                </c:pt>
                <c:pt idx="70">
                  <c:v>283.8585858585862</c:v>
                </c:pt>
                <c:pt idx="71">
                  <c:v>287.42424242424278</c:v>
                </c:pt>
                <c:pt idx="72">
                  <c:v>290.98989898989936</c:v>
                </c:pt>
                <c:pt idx="73">
                  <c:v>294.55555555555588</c:v>
                </c:pt>
                <c:pt idx="74">
                  <c:v>298.12121212121247</c:v>
                </c:pt>
                <c:pt idx="75">
                  <c:v>301.68686868686905</c:v>
                </c:pt>
                <c:pt idx="76">
                  <c:v>305.25252525252563</c:v>
                </c:pt>
                <c:pt idx="77">
                  <c:v>308.81818181818221</c:v>
                </c:pt>
                <c:pt idx="78">
                  <c:v>312.38383838383874</c:v>
                </c:pt>
                <c:pt idx="79">
                  <c:v>315.94949494949532</c:v>
                </c:pt>
                <c:pt idx="80">
                  <c:v>319.5151515151519</c:v>
                </c:pt>
                <c:pt idx="81">
                  <c:v>323.08080808080848</c:v>
                </c:pt>
                <c:pt idx="82">
                  <c:v>326.64646464646506</c:v>
                </c:pt>
                <c:pt idx="83">
                  <c:v>330.21212121212159</c:v>
                </c:pt>
                <c:pt idx="84">
                  <c:v>333.77777777777817</c:v>
                </c:pt>
                <c:pt idx="85">
                  <c:v>337.34343434343475</c:v>
                </c:pt>
                <c:pt idx="86">
                  <c:v>340.90909090909133</c:v>
                </c:pt>
                <c:pt idx="87">
                  <c:v>344.47474747474791</c:v>
                </c:pt>
                <c:pt idx="88">
                  <c:v>348.04040404040444</c:v>
                </c:pt>
                <c:pt idx="89">
                  <c:v>351.60606060606102</c:v>
                </c:pt>
                <c:pt idx="90">
                  <c:v>355.1717171717176</c:v>
                </c:pt>
                <c:pt idx="91">
                  <c:v>358.73737373737418</c:v>
                </c:pt>
                <c:pt idx="92">
                  <c:v>362.30303030303071</c:v>
                </c:pt>
                <c:pt idx="93">
                  <c:v>365.86868686868729</c:v>
                </c:pt>
                <c:pt idx="94">
                  <c:v>369.43434343434387</c:v>
                </c:pt>
                <c:pt idx="95">
                  <c:v>373.00000000000045</c:v>
                </c:pt>
                <c:pt idx="96">
                  <c:v>376.56565656565704</c:v>
                </c:pt>
                <c:pt idx="97">
                  <c:v>380.13131313131356</c:v>
                </c:pt>
                <c:pt idx="98">
                  <c:v>383.69696969697014</c:v>
                </c:pt>
                <c:pt idx="99">
                  <c:v>387.26262626262672</c:v>
                </c:pt>
              </c:numCache>
            </c:numRef>
          </c:xVal>
          <c:yVal>
            <c:numRef>
              <c:f>Solutions!ydata3</c:f>
              <c:numCache>
                <c:formatCode>General</c:formatCode>
                <c:ptCount val="100"/>
                <c:pt idx="0">
                  <c:v>-89.226361650390743</c:v>
                </c:pt>
                <c:pt idx="1">
                  <c:v>-54.875235184960843</c:v>
                </c:pt>
                <c:pt idx="2">
                  <c:v>-20.557738136692137</c:v>
                </c:pt>
                <c:pt idx="3">
                  <c:v>13.725988781767455</c:v>
                </c:pt>
                <c:pt idx="4">
                  <c:v>47.975811489337332</c:v>
                </c:pt>
                <c:pt idx="5">
                  <c:v>82.191602678636173</c:v>
                </c:pt>
                <c:pt idx="6">
                  <c:v>116.37324195212079</c:v>
                </c:pt>
                <c:pt idx="7">
                  <c:v>150.52061595189764</c:v>
                </c:pt>
                <c:pt idx="8">
                  <c:v>184.63361848289651</c:v>
                </c:pt>
                <c:pt idx="9">
                  <c:v>218.71215062909556</c:v>
                </c:pt>
                <c:pt idx="10">
                  <c:v>252.75612086250754</c:v>
                </c:pt>
                <c:pt idx="11">
                  <c:v>286.76544514465695</c:v>
                </c:pt>
                <c:pt idx="12">
                  <c:v>320.74004702028151</c:v>
                </c:pt>
                <c:pt idx="13">
                  <c:v>354.67985770302414</c:v>
                </c:pt>
                <c:pt idx="14">
                  <c:v>388.58481615288986</c:v>
                </c:pt>
                <c:pt idx="15">
                  <c:v>422.45486914526697</c:v>
                </c:pt>
                <c:pt idx="16">
                  <c:v>456.28997133133038</c:v>
                </c:pt>
                <c:pt idx="17">
                  <c:v>490.09008528967064</c:v>
                </c:pt>
                <c:pt idx="18">
                  <c:v>523.85518156900935</c:v>
                </c:pt>
                <c:pt idx="19">
                  <c:v>557.58523872188766</c:v>
                </c:pt>
                <c:pt idx="20">
                  <c:v>591.28024332924019</c:v>
                </c:pt>
                <c:pt idx="21">
                  <c:v>624.94019001578727</c:v>
                </c:pt>
                <c:pt idx="22">
                  <c:v>658.56508145620319</c:v>
                </c:pt>
                <c:pt idx="23">
                  <c:v>692.15492837204772</c:v>
                </c:pt>
                <c:pt idx="24">
                  <c:v>725.70974951946312</c:v>
                </c:pt>
                <c:pt idx="25">
                  <c:v>759.22957166767662</c:v>
                </c:pt>
                <c:pt idx="26">
                  <c:v>792.71442956836108</c:v>
                </c:pt>
                <c:pt idx="27">
                  <c:v>826.16436591593424</c:v>
                </c:pt>
                <c:pt idx="28">
                  <c:v>859.57943129890964</c:v>
                </c:pt>
                <c:pt idx="29">
                  <c:v>892.95968414241793</c:v>
                </c:pt>
                <c:pt idx="30">
                  <c:v>926.3051906420601</c:v>
                </c:pt>
                <c:pt idx="31">
                  <c:v>959.61602468925639</c:v>
                </c:pt>
                <c:pt idx="32">
                  <c:v>992.89226778829675</c:v>
                </c:pt>
                <c:pt idx="33">
                  <c:v>1026.1340089652983</c:v>
                </c:pt>
                <c:pt idx="34">
                  <c:v>1059.3413446693105</c:v>
                </c:pt>
                <c:pt idx="35">
                  <c:v>1092.5143786658175</c:v>
                </c:pt>
                <c:pt idx="36">
                  <c:v>1125.6532219229107</c:v>
                </c:pt>
                <c:pt idx="37">
                  <c:v>1158.7579924904126</c:v>
                </c:pt>
                <c:pt idx="38">
                  <c:v>1191.8288153722585</c:v>
                </c:pt>
                <c:pt idx="39">
                  <c:v>1224.8658223924424</c:v>
                </c:pt>
                <c:pt idx="40">
                  <c:v>1257.86915205486</c:v>
                </c:pt>
                <c:pt idx="41">
                  <c:v>1290.8389493973816</c:v>
                </c:pt>
                <c:pt idx="42">
                  <c:v>1323.7753658404963</c:v>
                </c:pt>
                <c:pt idx="43">
                  <c:v>1356.6785590308905</c:v>
                </c:pt>
                <c:pt idx="44">
                  <c:v>1389.5486926803103</c:v>
                </c:pt>
                <c:pt idx="45">
                  <c:v>1422.385936400078</c:v>
                </c:pt>
                <c:pt idx="46">
                  <c:v>1455.190465531628</c:v>
                </c:pt>
                <c:pt idx="47">
                  <c:v>1487.9624609734365</c:v>
                </c:pt>
                <c:pt idx="48">
                  <c:v>1520.7021090047092</c:v>
                </c:pt>
                <c:pt idx="49">
                  <c:v>1553.4096011062043</c:v>
                </c:pt>
                <c:pt idx="50">
                  <c:v>1586.0851337785548</c:v>
                </c:pt>
                <c:pt idx="51">
                  <c:v>1618.7289083584592</c:v>
                </c:pt>
                <c:pt idx="52">
                  <c:v>1651.341130833101</c:v>
                </c:pt>
                <c:pt idx="53">
                  <c:v>1683.9220116531562</c:v>
                </c:pt>
                <c:pt idx="54">
                  <c:v>1716.4717655447284</c:v>
                </c:pt>
                <c:pt idx="55">
                  <c:v>1748.9906113205757</c:v>
                </c:pt>
                <c:pt idx="56">
                  <c:v>1781.4787716909384</c:v>
                </c:pt>
                <c:pt idx="57">
                  <c:v>1813.9364730743173</c:v>
                </c:pt>
                <c:pt idx="58">
                  <c:v>1846.3639454085012</c:v>
                </c:pt>
                <c:pt idx="59">
                  <c:v>1878.761421962156</c:v>
                </c:pt>
                <c:pt idx="60">
                  <c:v>1911.1291391472746</c:v>
                </c:pt>
                <c:pt idx="61">
                  <c:v>1943.4673363327606</c:v>
                </c:pt>
                <c:pt idx="62">
                  <c:v>1975.7762556594239</c:v>
                </c:pt>
                <c:pt idx="63">
                  <c:v>2008.0561418566449</c:v>
                </c:pt>
                <c:pt idx="64">
                  <c:v>2040.3072420609496</c:v>
                </c:pt>
                <c:pt idx="65">
                  <c:v>2072.5298056367305</c:v>
                </c:pt>
                <c:pt idx="66">
                  <c:v>2104.7240839993324</c:v>
                </c:pt>
                <c:pt idx="67">
                  <c:v>2136.8903304407099</c:v>
                </c:pt>
                <c:pt idx="68">
                  <c:v>2169.0287999578395</c:v>
                </c:pt>
                <c:pt idx="69">
                  <c:v>2201.1397490840818</c:v>
                </c:pt>
                <c:pt idx="70">
                  <c:v>2233.2234357236348</c:v>
                </c:pt>
                <c:pt idx="71">
                  <c:v>2265.2801189892557</c:v>
                </c:pt>
                <c:pt idx="72">
                  <c:v>2297.3100590433683</c:v>
                </c:pt>
                <c:pt idx="73">
                  <c:v>2329.313516942691</c:v>
                </c:pt>
                <c:pt idx="74">
                  <c:v>2361.2907544865025</c:v>
                </c:pt>
                <c:pt idx="75">
                  <c:v>2393.2420340686226</c:v>
                </c:pt>
                <c:pt idx="76">
                  <c:v>2425.1676185332285</c:v>
                </c:pt>
                <c:pt idx="77">
                  <c:v>2457.0677710345508</c:v>
                </c:pt>
                <c:pt idx="78">
                  <c:v>2488.9427549005327</c:v>
                </c:pt>
                <c:pt idx="79">
                  <c:v>2520.7928335005004</c:v>
                </c:pt>
                <c:pt idx="80">
                  <c:v>2552.6182701168755</c:v>
                </c:pt>
                <c:pt idx="81">
                  <c:v>2584.4193278209818</c:v>
                </c:pt>
                <c:pt idx="82">
                  <c:v>2616.1962693529467</c:v>
                </c:pt>
                <c:pt idx="83">
                  <c:v>2647.9493570057234</c:v>
                </c:pt>
                <c:pt idx="84">
                  <c:v>2679.6788525132351</c:v>
                </c:pt>
                <c:pt idx="85">
                  <c:v>2711.3850169426219</c:v>
                </c:pt>
                <c:pt idx="86">
                  <c:v>2743.0681105906033</c:v>
                </c:pt>
                <c:pt idx="87">
                  <c:v>2774.7283928839033</c:v>
                </c:pt>
                <c:pt idx="88">
                  <c:v>2806.3661222837436</c:v>
                </c:pt>
                <c:pt idx="89">
                  <c:v>2837.981556194336</c:v>
                </c:pt>
                <c:pt idx="90">
                  <c:v>2869.5749508753615</c:v>
                </c:pt>
                <c:pt idx="91">
                  <c:v>2901.1465613583687</c:v>
                </c:pt>
                <c:pt idx="92">
                  <c:v>2932.6966413670552</c:v>
                </c:pt>
                <c:pt idx="93">
                  <c:v>2964.2254432413629</c:v>
                </c:pt>
                <c:pt idx="94">
                  <c:v>2995.7332178653278</c:v>
                </c:pt>
                <c:pt idx="95">
                  <c:v>3027.2202145986303</c:v>
                </c:pt>
                <c:pt idx="96">
                  <c:v>3058.6866812117555</c:v>
                </c:pt>
                <c:pt idx="97">
                  <c:v>3090.1328638247128</c:v>
                </c:pt>
                <c:pt idx="98">
                  <c:v>3121.5590068492288</c:v>
                </c:pt>
                <c:pt idx="99">
                  <c:v>3152.9653529343277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96-4A68-84C8-99D25C5B7965}"/>
            </c:ext>
          </c:extLst>
        </c:ser>
        <c:ser>
          <c:idx val="5"/>
          <c:order val="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square"/>
            <c:size val="5"/>
            <c:spPr>
              <a:noFill/>
              <a:ln w="6350">
                <a:noFill/>
              </a:ln>
            </c:spPr>
          </c:marker>
          <c:xVal>
            <c:numRef>
              <c:f>Solutions!xdata4</c:f>
              <c:numCache>
                <c:formatCode>General</c:formatCode>
                <c:ptCount val="100"/>
                <c:pt idx="0">
                  <c:v>34.262626262626284</c:v>
                </c:pt>
                <c:pt idx="1">
                  <c:v>37.828282828282852</c:v>
                </c:pt>
                <c:pt idx="2">
                  <c:v>41.393939393939419</c:v>
                </c:pt>
                <c:pt idx="3">
                  <c:v>44.959595959595987</c:v>
                </c:pt>
                <c:pt idx="4">
                  <c:v>48.525252525252561</c:v>
                </c:pt>
                <c:pt idx="5">
                  <c:v>52.090909090909129</c:v>
                </c:pt>
                <c:pt idx="6">
                  <c:v>55.656565656565704</c:v>
                </c:pt>
                <c:pt idx="7">
                  <c:v>59.222222222222271</c:v>
                </c:pt>
                <c:pt idx="8">
                  <c:v>62.787878787878839</c:v>
                </c:pt>
                <c:pt idx="9">
                  <c:v>66.35353535353542</c:v>
                </c:pt>
                <c:pt idx="10">
                  <c:v>69.919191919191974</c:v>
                </c:pt>
                <c:pt idx="11">
                  <c:v>73.484848484848555</c:v>
                </c:pt>
                <c:pt idx="12">
                  <c:v>77.050505050505123</c:v>
                </c:pt>
                <c:pt idx="13">
                  <c:v>80.616161616161691</c:v>
                </c:pt>
                <c:pt idx="14">
                  <c:v>84.181818181818258</c:v>
                </c:pt>
                <c:pt idx="15">
                  <c:v>87.74747474747484</c:v>
                </c:pt>
                <c:pt idx="16">
                  <c:v>91.313131313131407</c:v>
                </c:pt>
                <c:pt idx="17">
                  <c:v>94.878787878787975</c:v>
                </c:pt>
                <c:pt idx="18">
                  <c:v>98.444444444444542</c:v>
                </c:pt>
                <c:pt idx="19">
                  <c:v>102.01010101010111</c:v>
                </c:pt>
                <c:pt idx="20">
                  <c:v>105.57575757575768</c:v>
                </c:pt>
                <c:pt idx="21">
                  <c:v>109.14141414141426</c:v>
                </c:pt>
                <c:pt idx="22">
                  <c:v>112.70707070707083</c:v>
                </c:pt>
                <c:pt idx="23">
                  <c:v>116.27272727272739</c:v>
                </c:pt>
                <c:pt idx="24">
                  <c:v>119.83838383838396</c:v>
                </c:pt>
                <c:pt idx="25">
                  <c:v>123.40404040404053</c:v>
                </c:pt>
                <c:pt idx="26">
                  <c:v>126.96969696969711</c:v>
                </c:pt>
                <c:pt idx="27">
                  <c:v>130.53535353535369</c:v>
                </c:pt>
                <c:pt idx="28">
                  <c:v>134.10101010101025</c:v>
                </c:pt>
                <c:pt idx="29">
                  <c:v>137.6666666666668</c:v>
                </c:pt>
                <c:pt idx="30">
                  <c:v>141.23232323232338</c:v>
                </c:pt>
                <c:pt idx="31">
                  <c:v>144.79797979797996</c:v>
                </c:pt>
                <c:pt idx="32">
                  <c:v>148.36363636363652</c:v>
                </c:pt>
                <c:pt idx="33">
                  <c:v>151.9292929292931</c:v>
                </c:pt>
                <c:pt idx="34">
                  <c:v>155.49494949494968</c:v>
                </c:pt>
                <c:pt idx="35">
                  <c:v>159.06060606060623</c:v>
                </c:pt>
                <c:pt idx="36">
                  <c:v>162.62626262626281</c:v>
                </c:pt>
                <c:pt idx="37">
                  <c:v>166.19191919191937</c:v>
                </c:pt>
                <c:pt idx="38">
                  <c:v>169.75757575757595</c:v>
                </c:pt>
                <c:pt idx="39">
                  <c:v>173.32323232323253</c:v>
                </c:pt>
                <c:pt idx="40">
                  <c:v>176.88888888888908</c:v>
                </c:pt>
                <c:pt idx="41">
                  <c:v>180.45454545454567</c:v>
                </c:pt>
                <c:pt idx="42">
                  <c:v>184.02020202020222</c:v>
                </c:pt>
                <c:pt idx="43">
                  <c:v>187.5858585858588</c:v>
                </c:pt>
                <c:pt idx="44">
                  <c:v>191.15151515151535</c:v>
                </c:pt>
                <c:pt idx="45">
                  <c:v>194.71717171717194</c:v>
                </c:pt>
                <c:pt idx="46">
                  <c:v>198.28282828282852</c:v>
                </c:pt>
                <c:pt idx="47">
                  <c:v>201.84848484848507</c:v>
                </c:pt>
                <c:pt idx="48">
                  <c:v>205.41414141414165</c:v>
                </c:pt>
                <c:pt idx="49">
                  <c:v>208.97979797979821</c:v>
                </c:pt>
                <c:pt idx="50">
                  <c:v>212.54545454545479</c:v>
                </c:pt>
                <c:pt idx="51">
                  <c:v>216.11111111111137</c:v>
                </c:pt>
                <c:pt idx="52">
                  <c:v>219.67676767676792</c:v>
                </c:pt>
                <c:pt idx="53">
                  <c:v>223.24242424242451</c:v>
                </c:pt>
                <c:pt idx="54">
                  <c:v>226.80808080808106</c:v>
                </c:pt>
                <c:pt idx="55">
                  <c:v>230.37373737373764</c:v>
                </c:pt>
                <c:pt idx="56">
                  <c:v>233.93939393939422</c:v>
                </c:pt>
                <c:pt idx="57">
                  <c:v>237.50505050505078</c:v>
                </c:pt>
                <c:pt idx="58">
                  <c:v>241.07070707070736</c:v>
                </c:pt>
                <c:pt idx="59">
                  <c:v>244.63636363636391</c:v>
                </c:pt>
                <c:pt idx="60">
                  <c:v>248.20202020202049</c:v>
                </c:pt>
                <c:pt idx="61">
                  <c:v>251.76767676767707</c:v>
                </c:pt>
                <c:pt idx="62">
                  <c:v>255.33333333333363</c:v>
                </c:pt>
                <c:pt idx="63">
                  <c:v>258.89898989899018</c:v>
                </c:pt>
                <c:pt idx="64">
                  <c:v>262.46464646464676</c:v>
                </c:pt>
                <c:pt idx="65">
                  <c:v>266.03030303030334</c:v>
                </c:pt>
                <c:pt idx="66">
                  <c:v>269.59595959595993</c:v>
                </c:pt>
                <c:pt idx="67">
                  <c:v>273.16161616161651</c:v>
                </c:pt>
                <c:pt idx="68">
                  <c:v>276.72727272727303</c:v>
                </c:pt>
                <c:pt idx="69">
                  <c:v>280.29292929292961</c:v>
                </c:pt>
                <c:pt idx="70">
                  <c:v>283.8585858585862</c:v>
                </c:pt>
                <c:pt idx="71">
                  <c:v>287.42424242424278</c:v>
                </c:pt>
                <c:pt idx="72">
                  <c:v>290.98989898989936</c:v>
                </c:pt>
                <c:pt idx="73">
                  <c:v>294.55555555555588</c:v>
                </c:pt>
                <c:pt idx="74">
                  <c:v>298.12121212121247</c:v>
                </c:pt>
                <c:pt idx="75">
                  <c:v>301.68686868686905</c:v>
                </c:pt>
                <c:pt idx="76">
                  <c:v>305.25252525252563</c:v>
                </c:pt>
                <c:pt idx="77">
                  <c:v>308.81818181818221</c:v>
                </c:pt>
                <c:pt idx="78">
                  <c:v>312.38383838383874</c:v>
                </c:pt>
                <c:pt idx="79">
                  <c:v>315.94949494949532</c:v>
                </c:pt>
                <c:pt idx="80">
                  <c:v>319.5151515151519</c:v>
                </c:pt>
                <c:pt idx="81">
                  <c:v>323.08080808080848</c:v>
                </c:pt>
                <c:pt idx="82">
                  <c:v>326.64646464646506</c:v>
                </c:pt>
                <c:pt idx="83">
                  <c:v>330.21212121212159</c:v>
                </c:pt>
                <c:pt idx="84">
                  <c:v>333.77777777777817</c:v>
                </c:pt>
                <c:pt idx="85">
                  <c:v>337.34343434343475</c:v>
                </c:pt>
                <c:pt idx="86">
                  <c:v>340.90909090909133</c:v>
                </c:pt>
                <c:pt idx="87">
                  <c:v>344.47474747474791</c:v>
                </c:pt>
                <c:pt idx="88">
                  <c:v>348.04040404040444</c:v>
                </c:pt>
                <c:pt idx="89">
                  <c:v>351.60606060606102</c:v>
                </c:pt>
                <c:pt idx="90">
                  <c:v>355.1717171717176</c:v>
                </c:pt>
                <c:pt idx="91">
                  <c:v>358.73737373737418</c:v>
                </c:pt>
                <c:pt idx="92">
                  <c:v>362.30303030303071</c:v>
                </c:pt>
                <c:pt idx="93">
                  <c:v>365.86868686868729</c:v>
                </c:pt>
                <c:pt idx="94">
                  <c:v>369.43434343434387</c:v>
                </c:pt>
                <c:pt idx="95">
                  <c:v>373.00000000000045</c:v>
                </c:pt>
                <c:pt idx="96">
                  <c:v>376.56565656565704</c:v>
                </c:pt>
                <c:pt idx="97">
                  <c:v>380.13131313131356</c:v>
                </c:pt>
                <c:pt idx="98">
                  <c:v>383.69696969697014</c:v>
                </c:pt>
                <c:pt idx="99">
                  <c:v>387.26262626262672</c:v>
                </c:pt>
              </c:numCache>
            </c:numRef>
          </c:xVal>
          <c:yVal>
            <c:numRef>
              <c:f>Solutions!ydata4</c:f>
              <c:numCache>
                <c:formatCode>General</c:formatCode>
                <c:ptCount val="100"/>
                <c:pt idx="0">
                  <c:v>840.84805252940373</c:v>
                </c:pt>
                <c:pt idx="1">
                  <c:v>873.84011529919337</c:v>
                </c:pt>
                <c:pt idx="2">
                  <c:v>906.86580748614404</c:v>
                </c:pt>
                <c:pt idx="3">
                  <c:v>939.92526980290393</c:v>
                </c:pt>
                <c:pt idx="4">
                  <c:v>973.01863633055359</c:v>
                </c:pt>
                <c:pt idx="5">
                  <c:v>1006.1460343764741</c:v>
                </c:pt>
                <c:pt idx="6">
                  <c:v>1039.3075843382094</c:v>
                </c:pt>
                <c:pt idx="7">
                  <c:v>1072.5033995736517</c:v>
                </c:pt>
                <c:pt idx="8">
                  <c:v>1105.7335862778723</c:v>
                </c:pt>
                <c:pt idx="9">
                  <c:v>1138.9982433668931</c:v>
                </c:pt>
                <c:pt idx="10">
                  <c:v>1172.2974623687003</c:v>
                </c:pt>
                <c:pt idx="11">
                  <c:v>1205.6313273217704</c:v>
                </c:pt>
                <c:pt idx="12">
                  <c:v>1238.9999146813655</c:v>
                </c:pt>
                <c:pt idx="13">
                  <c:v>1272.4032932338423</c:v>
                </c:pt>
                <c:pt idx="14">
                  <c:v>1305.8415240191957</c:v>
                </c:pt>
                <c:pt idx="15">
                  <c:v>1339.3146602620386</c:v>
                </c:pt>
                <c:pt idx="16">
                  <c:v>1372.8227473111945</c:v>
                </c:pt>
                <c:pt idx="17">
                  <c:v>1406.3658225880736</c:v>
                </c:pt>
                <c:pt idx="18">
                  <c:v>1439.9439155439545</c:v>
                </c:pt>
                <c:pt idx="19">
                  <c:v>1473.5570476262956</c:v>
                </c:pt>
                <c:pt idx="20">
                  <c:v>1507.2052322541624</c:v>
                </c:pt>
                <c:pt idx="21">
                  <c:v>1540.8884748028349</c:v>
                </c:pt>
                <c:pt idx="22">
                  <c:v>1574.6067725976382</c:v>
                </c:pt>
                <c:pt idx="23">
                  <c:v>1608.3601149170131</c:v>
                </c:pt>
                <c:pt idx="24">
                  <c:v>1642.1484830048175</c:v>
                </c:pt>
                <c:pt idx="25">
                  <c:v>1675.9718500918229</c:v>
                </c:pt>
                <c:pt idx="26">
                  <c:v>1709.8301814263586</c:v>
                </c:pt>
                <c:pt idx="27">
                  <c:v>1743.7234343140051</c:v>
                </c:pt>
                <c:pt idx="28">
                  <c:v>1777.6515581662488</c:v>
                </c:pt>
                <c:pt idx="29">
                  <c:v>1811.6144945579597</c:v>
                </c:pt>
                <c:pt idx="30">
                  <c:v>1845.6121772935371</c:v>
                </c:pt>
                <c:pt idx="31">
                  <c:v>1879.6445324815604</c:v>
                </c:pt>
                <c:pt idx="32">
                  <c:v>1913.7114786177397</c:v>
                </c:pt>
                <c:pt idx="33">
                  <c:v>1947.8129266759577</c:v>
                </c:pt>
                <c:pt idx="34">
                  <c:v>1981.9487802071651</c:v>
                </c:pt>
                <c:pt idx="35">
                  <c:v>2016.1189354458772</c:v>
                </c:pt>
                <c:pt idx="36">
                  <c:v>2050.3232814240037</c:v>
                </c:pt>
                <c:pt idx="37">
                  <c:v>2084.5617000917209</c:v>
                </c:pt>
                <c:pt idx="38">
                  <c:v>2118.8340664450952</c:v>
                </c:pt>
                <c:pt idx="39">
                  <c:v>2153.140248660131</c:v>
                </c:pt>
                <c:pt idx="40">
                  <c:v>2187.4801082329323</c:v>
                </c:pt>
                <c:pt idx="41">
                  <c:v>2221.8535001256305</c:v>
                </c:pt>
                <c:pt idx="42">
                  <c:v>2256.2602729177347</c:v>
                </c:pt>
                <c:pt idx="43">
                  <c:v>2290.7002689625601</c:v>
                </c:pt>
                <c:pt idx="44">
                  <c:v>2325.1733245483597</c:v>
                </c:pt>
                <c:pt idx="45">
                  <c:v>2359.6792700638121</c:v>
                </c:pt>
                <c:pt idx="46">
                  <c:v>2394.2179301674814</c:v>
                </c:pt>
                <c:pt idx="47">
                  <c:v>2428.7891239608921</c:v>
                </c:pt>
                <c:pt idx="48">
                  <c:v>2463.3926651648389</c:v>
                </c:pt>
                <c:pt idx="49">
                  <c:v>2498.028362298563</c:v>
                </c:pt>
                <c:pt idx="50">
                  <c:v>2532.6960188614325</c:v>
                </c:pt>
                <c:pt idx="51">
                  <c:v>2567.3954335167482</c:v>
                </c:pt>
                <c:pt idx="52">
                  <c:v>2602.1264002773246</c:v>
                </c:pt>
                <c:pt idx="53">
                  <c:v>2636.8887086924897</c:v>
                </c:pt>
                <c:pt idx="54">
                  <c:v>2671.6821440361364</c:v>
                </c:pt>
                <c:pt idx="55">
                  <c:v>2706.5064874955092</c:v>
                </c:pt>
                <c:pt idx="56">
                  <c:v>2741.3615163603654</c:v>
                </c:pt>
                <c:pt idx="57">
                  <c:v>2776.2470042122059</c:v>
                </c:pt>
                <c:pt idx="58">
                  <c:v>2811.1627211132418</c:v>
                </c:pt>
                <c:pt idx="59">
                  <c:v>2846.1084337948064</c:v>
                </c:pt>
                <c:pt idx="60">
                  <c:v>2881.0839058449078</c:v>
                </c:pt>
                <c:pt idx="61">
                  <c:v>2916.0888978946409</c:v>
                </c:pt>
                <c:pt idx="62">
                  <c:v>2951.1231678031968</c:v>
                </c:pt>
                <c:pt idx="63">
                  <c:v>2986.1864708411949</c:v>
                </c:pt>
                <c:pt idx="64">
                  <c:v>3021.2785598721102</c:v>
                </c:pt>
                <c:pt idx="65">
                  <c:v>3056.3991855315494</c:v>
                </c:pt>
                <c:pt idx="66">
                  <c:v>3091.5480964041667</c:v>
                </c:pt>
                <c:pt idx="67">
                  <c:v>3126.7250391980092</c:v>
                </c:pt>
                <c:pt idx="68">
                  <c:v>3161.9297589160979</c:v>
                </c:pt>
                <c:pt idx="69">
                  <c:v>3197.1619990250756</c:v>
                </c:pt>
                <c:pt idx="70">
                  <c:v>3232.4215016207418</c:v>
                </c:pt>
                <c:pt idx="71">
                  <c:v>3267.7080075903409</c:v>
                </c:pt>
                <c:pt idx="72">
                  <c:v>3303.0212567714484</c:v>
                </c:pt>
                <c:pt idx="73">
                  <c:v>3338.3609881073439</c:v>
                </c:pt>
                <c:pt idx="74">
                  <c:v>3373.7269397987525</c:v>
                </c:pt>
                <c:pt idx="75">
                  <c:v>3409.1188494518515</c:v>
                </c:pt>
                <c:pt idx="76">
                  <c:v>3444.5364542224656</c:v>
                </c:pt>
                <c:pt idx="77">
                  <c:v>3479.9794909563634</c:v>
                </c:pt>
                <c:pt idx="78">
                  <c:v>3515.4476963255997</c:v>
                </c:pt>
                <c:pt idx="79">
                  <c:v>3550.9408069608521</c:v>
                </c:pt>
                <c:pt idx="80">
                  <c:v>3586.4585595796962</c:v>
                </c:pt>
                <c:pt idx="81">
                  <c:v>3622.0006911108098</c:v>
                </c:pt>
                <c:pt idx="82">
                  <c:v>3657.566938814065</c:v>
                </c:pt>
                <c:pt idx="83">
                  <c:v>3693.1570403965065</c:v>
                </c:pt>
                <c:pt idx="84">
                  <c:v>3728.7707341242149</c:v>
                </c:pt>
                <c:pt idx="85">
                  <c:v>3764.4077589300473</c:v>
                </c:pt>
                <c:pt idx="86">
                  <c:v>3800.0678545172859</c:v>
                </c:pt>
                <c:pt idx="87">
                  <c:v>3835.750761459205</c:v>
                </c:pt>
                <c:pt idx="88">
                  <c:v>3871.4562212945839</c:v>
                </c:pt>
                <c:pt idx="89">
                  <c:v>3907.1839766192106</c:v>
                </c:pt>
                <c:pt idx="90">
                  <c:v>3942.9337711734051</c:v>
                </c:pt>
                <c:pt idx="91">
                  <c:v>3978.7053499256181</c:v>
                </c:pt>
                <c:pt idx="92">
                  <c:v>4014.4984591521497</c:v>
                </c:pt>
                <c:pt idx="93">
                  <c:v>4050.3128465130621</c:v>
                </c:pt>
                <c:pt idx="94">
                  <c:v>4086.1482611243164</c:v>
                </c:pt>
                <c:pt idx="95">
                  <c:v>4122.004453626234</c:v>
                </c:pt>
                <c:pt idx="96">
                  <c:v>4157.8811762483292</c:v>
                </c:pt>
                <c:pt idx="97">
                  <c:v>4193.7781828705902</c:v>
                </c:pt>
                <c:pt idx="98">
                  <c:v>4229.6952290812942</c:v>
                </c:pt>
                <c:pt idx="99">
                  <c:v>4265.632072231414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696-4A68-84C8-99D25C5B7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70447"/>
        <c:axId val="1"/>
      </c:scatterChart>
      <c:valAx>
        <c:axId val="227970447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Surface</a:t>
                </a:r>
              </a:p>
            </c:rich>
          </c:tx>
          <c:layout>
            <c:manualLayout>
              <c:xMode val="edge"/>
              <c:yMode val="edge"/>
              <c:x val="0.49732706893220274"/>
              <c:y val="0.8176482330655920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4500"/>
          <c:min val="-500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Prix</a:t>
                </a:r>
              </a:p>
            </c:rich>
          </c:tx>
          <c:layout>
            <c:manualLayout>
              <c:xMode val="edge"/>
              <c:yMode val="edge"/>
              <c:x val="2.8520548755968617E-2"/>
              <c:y val="0.447059465561043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27970447"/>
        <c:crosses val="autoZero"/>
        <c:crossBetween val="midCat"/>
      </c:valAx>
      <c:spPr>
        <a:noFill/>
        <a:ln w="3175">
          <a:solidFill>
            <a:srgbClr val="808080"/>
          </a:solidFill>
          <a:prstDash val="solid"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4.9910960322945078E-2"/>
          <c:y val="0.91470719598345007"/>
          <c:w val="0.90017982011025954"/>
          <c:h val="6.4705975278572039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Standardized residuals / Surface</a:t>
            </a:r>
          </a:p>
        </c:rich>
      </c:tx>
      <c:layout>
        <c:manualLayout>
          <c:xMode val="edge"/>
          <c:yMode val="edge"/>
          <c:x val="0.30894370264803783"/>
          <c:y val="3.52941683337665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78883977396106"/>
          <c:y val="0.17058848027987172"/>
          <c:w val="0.84146508484399785"/>
          <c:h val="0.7000010052863702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marker>
            <c:symbol val="circle"/>
            <c:size val="3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Solutions!$D$68:$D$113</c:f>
              <c:numCache>
                <c:formatCode>0.000</c:formatCode>
                <c:ptCount val="46"/>
                <c:pt idx="0">
                  <c:v>131</c:v>
                </c:pt>
                <c:pt idx="1">
                  <c:v>55</c:v>
                </c:pt>
                <c:pt idx="2">
                  <c:v>81</c:v>
                </c:pt>
                <c:pt idx="3">
                  <c:v>100</c:v>
                </c:pt>
                <c:pt idx="4">
                  <c:v>152</c:v>
                </c:pt>
                <c:pt idx="5">
                  <c:v>145</c:v>
                </c:pt>
                <c:pt idx="6">
                  <c:v>59</c:v>
                </c:pt>
                <c:pt idx="7">
                  <c:v>56</c:v>
                </c:pt>
                <c:pt idx="8">
                  <c:v>80</c:v>
                </c:pt>
                <c:pt idx="9">
                  <c:v>53</c:v>
                </c:pt>
                <c:pt idx="10">
                  <c:v>78</c:v>
                </c:pt>
                <c:pt idx="11">
                  <c:v>95</c:v>
                </c:pt>
                <c:pt idx="12">
                  <c:v>50</c:v>
                </c:pt>
                <c:pt idx="13">
                  <c:v>98</c:v>
                </c:pt>
                <c:pt idx="14">
                  <c:v>97</c:v>
                </c:pt>
                <c:pt idx="15">
                  <c:v>98</c:v>
                </c:pt>
                <c:pt idx="16">
                  <c:v>30</c:v>
                </c:pt>
                <c:pt idx="17">
                  <c:v>160</c:v>
                </c:pt>
                <c:pt idx="18">
                  <c:v>120</c:v>
                </c:pt>
                <c:pt idx="19">
                  <c:v>68</c:v>
                </c:pt>
                <c:pt idx="20">
                  <c:v>68</c:v>
                </c:pt>
                <c:pt idx="21">
                  <c:v>69</c:v>
                </c:pt>
                <c:pt idx="22">
                  <c:v>64</c:v>
                </c:pt>
                <c:pt idx="23">
                  <c:v>373</c:v>
                </c:pt>
                <c:pt idx="24">
                  <c:v>101</c:v>
                </c:pt>
                <c:pt idx="25">
                  <c:v>91</c:v>
                </c:pt>
                <c:pt idx="26">
                  <c:v>65</c:v>
                </c:pt>
                <c:pt idx="27">
                  <c:v>132</c:v>
                </c:pt>
                <c:pt idx="28">
                  <c:v>56</c:v>
                </c:pt>
                <c:pt idx="29">
                  <c:v>51</c:v>
                </c:pt>
                <c:pt idx="30">
                  <c:v>67</c:v>
                </c:pt>
                <c:pt idx="31">
                  <c:v>200</c:v>
                </c:pt>
                <c:pt idx="32">
                  <c:v>141</c:v>
                </c:pt>
                <c:pt idx="33">
                  <c:v>118</c:v>
                </c:pt>
                <c:pt idx="34">
                  <c:v>132</c:v>
                </c:pt>
                <c:pt idx="35">
                  <c:v>20</c:v>
                </c:pt>
                <c:pt idx="36">
                  <c:v>50</c:v>
                </c:pt>
                <c:pt idx="37">
                  <c:v>83</c:v>
                </c:pt>
                <c:pt idx="38">
                  <c:v>121</c:v>
                </c:pt>
                <c:pt idx="39">
                  <c:v>178</c:v>
                </c:pt>
                <c:pt idx="40">
                  <c:v>195</c:v>
                </c:pt>
                <c:pt idx="41">
                  <c:v>104</c:v>
                </c:pt>
                <c:pt idx="42">
                  <c:v>191</c:v>
                </c:pt>
                <c:pt idx="43">
                  <c:v>158</c:v>
                </c:pt>
                <c:pt idx="44">
                  <c:v>145</c:v>
                </c:pt>
                <c:pt idx="45">
                  <c:v>105</c:v>
                </c:pt>
              </c:numCache>
            </c:numRef>
          </c:xVal>
          <c:yVal>
            <c:numRef>
              <c:f>Solutions!$H$68:$H$113</c:f>
              <c:numCache>
                <c:formatCode>0.000</c:formatCode>
                <c:ptCount val="46"/>
                <c:pt idx="0">
                  <c:v>-0.61979029491696347</c:v>
                </c:pt>
                <c:pt idx="1">
                  <c:v>-0.54109332872532268</c:v>
                </c:pt>
                <c:pt idx="2">
                  <c:v>0.14605449576676965</c:v>
                </c:pt>
                <c:pt idx="3">
                  <c:v>0.81586797112616694</c:v>
                </c:pt>
                <c:pt idx="4">
                  <c:v>0.38859894044932086</c:v>
                </c:pt>
                <c:pt idx="5">
                  <c:v>1.0162692297137859</c:v>
                </c:pt>
                <c:pt idx="6">
                  <c:v>-0.50894644710870851</c:v>
                </c:pt>
                <c:pt idx="7">
                  <c:v>0.39552765557818903</c:v>
                </c:pt>
                <c:pt idx="8">
                  <c:v>0.1569230837294294</c:v>
                </c:pt>
                <c:pt idx="9">
                  <c:v>-0.46597645858782455</c:v>
                </c:pt>
                <c:pt idx="10">
                  <c:v>-0.61758684567691635</c:v>
                </c:pt>
                <c:pt idx="11">
                  <c:v>1.7821140203975185</c:v>
                </c:pt>
                <c:pt idx="12">
                  <c:v>-0.60240639303841115</c:v>
                </c:pt>
                <c:pt idx="13">
                  <c:v>-0.56806013386921816</c:v>
                </c:pt>
                <c:pt idx="14">
                  <c:v>0.80843896435501261</c:v>
                </c:pt>
                <c:pt idx="15">
                  <c:v>-0.56806013386921816</c:v>
                </c:pt>
                <c:pt idx="16">
                  <c:v>0.24217677320788394</c:v>
                </c:pt>
                <c:pt idx="17">
                  <c:v>-0.41452732726535424</c:v>
                </c:pt>
                <c:pt idx="18">
                  <c:v>0.2871146623019295</c:v>
                </c:pt>
                <c:pt idx="19">
                  <c:v>-0.19751941647927676</c:v>
                </c:pt>
                <c:pt idx="20">
                  <c:v>0.35851906489758439</c:v>
                </c:pt>
                <c:pt idx="21">
                  <c:v>0.57451417733668408</c:v>
                </c:pt>
                <c:pt idx="22">
                  <c:v>0.30413064402589629</c:v>
                </c:pt>
                <c:pt idx="23">
                  <c:v>-0.33189863161485961</c:v>
                </c:pt>
                <c:pt idx="24">
                  <c:v>-0.75635667254271899</c:v>
                </c:pt>
                <c:pt idx="25">
                  <c:v>0.66013171528225634</c:v>
                </c:pt>
                <c:pt idx="26">
                  <c:v>-9.3740726975058836E-2</c:v>
                </c:pt>
                <c:pt idx="27">
                  <c:v>-0.61731395932657807</c:v>
                </c:pt>
                <c:pt idx="28">
                  <c:v>-0.24947698281896993</c:v>
                </c:pt>
                <c:pt idx="29">
                  <c:v>1.1838413908089445</c:v>
                </c:pt>
                <c:pt idx="30">
                  <c:v>1.178979681744954</c:v>
                </c:pt>
                <c:pt idx="31">
                  <c:v>-1.2941016308732336</c:v>
                </c:pt>
                <c:pt idx="32">
                  <c:v>-1.2622731166653476</c:v>
                </c:pt>
                <c:pt idx="33">
                  <c:v>-0.97226082286503923</c:v>
                </c:pt>
                <c:pt idx="34">
                  <c:v>-1.1955939799585138</c:v>
                </c:pt>
                <c:pt idx="35">
                  <c:v>-0.24965890705252855</c:v>
                </c:pt>
                <c:pt idx="36">
                  <c:v>-5.9712835214594626E-2</c:v>
                </c:pt>
                <c:pt idx="37">
                  <c:v>0.12876562769246458</c:v>
                </c:pt>
                <c:pt idx="38">
                  <c:v>0.76555993795090815</c:v>
                </c:pt>
                <c:pt idx="39">
                  <c:v>2.5659298950314007</c:v>
                </c:pt>
                <c:pt idx="40">
                  <c:v>2.1631968149664549</c:v>
                </c:pt>
                <c:pt idx="41">
                  <c:v>-0.73113443436750414</c:v>
                </c:pt>
                <c:pt idx="42">
                  <c:v>1.5305283734628308</c:v>
                </c:pt>
                <c:pt idx="43">
                  <c:v>-2.8882908557593878</c:v>
                </c:pt>
                <c:pt idx="44">
                  <c:v>-0.54063851814142549</c:v>
                </c:pt>
                <c:pt idx="45">
                  <c:v>-1.1067642661133854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1-499D-85D7-6C5DF0051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947119"/>
        <c:axId val="1"/>
      </c:scatterChart>
      <c:valAx>
        <c:axId val="227947119"/>
        <c:scaling>
          <c:orientation val="minMax"/>
          <c:max val="4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Surface</a:t>
                </a:r>
              </a:p>
            </c:rich>
          </c:tx>
          <c:layout>
            <c:manualLayout>
              <c:xMode val="edge"/>
              <c:yMode val="edge"/>
              <c:x val="0.48577332192684897"/>
              <c:y val="0.894118931122086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3"/>
          <c:min val="-3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Standardized residuals</a:t>
                </a:r>
              </a:p>
            </c:rich>
          </c:tx>
          <c:layout>
            <c:manualLayout>
              <c:xMode val="edge"/>
              <c:yMode val="edge"/>
              <c:x val="3.2520389752425036E-2"/>
              <c:y val="0.3294122377818212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27947119"/>
        <c:crosses val="autoZero"/>
        <c:crossBetween val="midCat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Standardized residuals / Prix</a:t>
            </a:r>
          </a:p>
        </c:rich>
      </c:tx>
      <c:layout>
        <c:manualLayout>
          <c:xMode val="edge"/>
          <c:yMode val="edge"/>
          <c:x val="0.310345524302991"/>
          <c:y val="3.529416833376656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850796629841572E-2"/>
          <c:y val="0.14705903472402734"/>
          <c:w val="0.85517433363490847"/>
          <c:h val="0.6823539211194868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Solutions!$H$67</c:f>
              <c:strCache>
                <c:ptCount val="1"/>
                <c:pt idx="0">
                  <c:v>Std. residual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Solutions!$B$68:$B$113</c:f>
              <c:strCache>
                <c:ptCount val="46"/>
                <c:pt idx="0">
                  <c:v>Obs1</c:v>
                </c:pt>
                <c:pt idx="1">
                  <c:v>Obs2</c:v>
                </c:pt>
                <c:pt idx="2">
                  <c:v>Obs3</c:v>
                </c:pt>
                <c:pt idx="3">
                  <c:v>Obs4</c:v>
                </c:pt>
                <c:pt idx="4">
                  <c:v>Obs5</c:v>
                </c:pt>
                <c:pt idx="5">
                  <c:v>Obs6</c:v>
                </c:pt>
                <c:pt idx="6">
                  <c:v>Obs7</c:v>
                </c:pt>
                <c:pt idx="7">
                  <c:v>Obs8</c:v>
                </c:pt>
                <c:pt idx="8">
                  <c:v>Obs9</c:v>
                </c:pt>
                <c:pt idx="9">
                  <c:v>Obs10</c:v>
                </c:pt>
                <c:pt idx="10">
                  <c:v>Obs11</c:v>
                </c:pt>
                <c:pt idx="11">
                  <c:v>Obs12</c:v>
                </c:pt>
                <c:pt idx="12">
                  <c:v>Obs13</c:v>
                </c:pt>
                <c:pt idx="13">
                  <c:v>Obs14</c:v>
                </c:pt>
                <c:pt idx="14">
                  <c:v>Obs15</c:v>
                </c:pt>
                <c:pt idx="15">
                  <c:v>Obs16</c:v>
                </c:pt>
                <c:pt idx="16">
                  <c:v>Obs17</c:v>
                </c:pt>
                <c:pt idx="17">
                  <c:v>Obs18</c:v>
                </c:pt>
                <c:pt idx="18">
                  <c:v>Obs19</c:v>
                </c:pt>
                <c:pt idx="19">
                  <c:v>Obs20</c:v>
                </c:pt>
                <c:pt idx="20">
                  <c:v>Obs21</c:v>
                </c:pt>
                <c:pt idx="21">
                  <c:v>Obs22</c:v>
                </c:pt>
                <c:pt idx="22">
                  <c:v>Obs23</c:v>
                </c:pt>
                <c:pt idx="23">
                  <c:v>Obs24</c:v>
                </c:pt>
                <c:pt idx="24">
                  <c:v>Obs25</c:v>
                </c:pt>
                <c:pt idx="25">
                  <c:v>Obs26</c:v>
                </c:pt>
                <c:pt idx="26">
                  <c:v>Obs27</c:v>
                </c:pt>
                <c:pt idx="27">
                  <c:v>Obs28</c:v>
                </c:pt>
                <c:pt idx="28">
                  <c:v>Obs29</c:v>
                </c:pt>
                <c:pt idx="29">
                  <c:v>Obs30</c:v>
                </c:pt>
                <c:pt idx="30">
                  <c:v>Obs31</c:v>
                </c:pt>
                <c:pt idx="31">
                  <c:v>Obs32</c:v>
                </c:pt>
                <c:pt idx="32">
                  <c:v>Obs33</c:v>
                </c:pt>
                <c:pt idx="33">
                  <c:v>Obs34</c:v>
                </c:pt>
                <c:pt idx="34">
                  <c:v>Obs35</c:v>
                </c:pt>
                <c:pt idx="35">
                  <c:v>Obs36</c:v>
                </c:pt>
                <c:pt idx="36">
                  <c:v>Obs37</c:v>
                </c:pt>
                <c:pt idx="37">
                  <c:v>Obs38</c:v>
                </c:pt>
                <c:pt idx="38">
                  <c:v>Obs39</c:v>
                </c:pt>
                <c:pt idx="39">
                  <c:v>Obs40</c:v>
                </c:pt>
                <c:pt idx="40">
                  <c:v>Obs41</c:v>
                </c:pt>
                <c:pt idx="41">
                  <c:v>Obs42</c:v>
                </c:pt>
                <c:pt idx="42">
                  <c:v>Obs43</c:v>
                </c:pt>
                <c:pt idx="43">
                  <c:v>Obs44</c:v>
                </c:pt>
                <c:pt idx="44">
                  <c:v>Obs45</c:v>
                </c:pt>
                <c:pt idx="45">
                  <c:v>Obs46</c:v>
                </c:pt>
              </c:strCache>
            </c:strRef>
          </c:cat>
          <c:val>
            <c:numRef>
              <c:f>Solutions!$H$68:$H$113</c:f>
              <c:numCache>
                <c:formatCode>0.000</c:formatCode>
                <c:ptCount val="46"/>
                <c:pt idx="0">
                  <c:v>-0.61979029491696347</c:v>
                </c:pt>
                <c:pt idx="1">
                  <c:v>-0.54109332872532268</c:v>
                </c:pt>
                <c:pt idx="2">
                  <c:v>0.14605449576676965</c:v>
                </c:pt>
                <c:pt idx="3">
                  <c:v>0.81586797112616694</c:v>
                </c:pt>
                <c:pt idx="4">
                  <c:v>0.38859894044932086</c:v>
                </c:pt>
                <c:pt idx="5">
                  <c:v>1.0162692297137859</c:v>
                </c:pt>
                <c:pt idx="6">
                  <c:v>-0.50894644710870851</c:v>
                </c:pt>
                <c:pt idx="7">
                  <c:v>0.39552765557818903</c:v>
                </c:pt>
                <c:pt idx="8">
                  <c:v>0.1569230837294294</c:v>
                </c:pt>
                <c:pt idx="9">
                  <c:v>-0.46597645858782455</c:v>
                </c:pt>
                <c:pt idx="10">
                  <c:v>-0.61758684567691635</c:v>
                </c:pt>
                <c:pt idx="11">
                  <c:v>1.7821140203975185</c:v>
                </c:pt>
                <c:pt idx="12">
                  <c:v>-0.60240639303841115</c:v>
                </c:pt>
                <c:pt idx="13">
                  <c:v>-0.56806013386921816</c:v>
                </c:pt>
                <c:pt idx="14">
                  <c:v>0.80843896435501261</c:v>
                </c:pt>
                <c:pt idx="15">
                  <c:v>-0.56806013386921816</c:v>
                </c:pt>
                <c:pt idx="16">
                  <c:v>0.24217677320788394</c:v>
                </c:pt>
                <c:pt idx="17">
                  <c:v>-0.41452732726535424</c:v>
                </c:pt>
                <c:pt idx="18">
                  <c:v>0.2871146623019295</c:v>
                </c:pt>
                <c:pt idx="19">
                  <c:v>-0.19751941647927676</c:v>
                </c:pt>
                <c:pt idx="20">
                  <c:v>0.35851906489758439</c:v>
                </c:pt>
                <c:pt idx="21">
                  <c:v>0.57451417733668408</c:v>
                </c:pt>
                <c:pt idx="22">
                  <c:v>0.30413064402589629</c:v>
                </c:pt>
                <c:pt idx="23">
                  <c:v>-0.33189863161485961</c:v>
                </c:pt>
                <c:pt idx="24">
                  <c:v>-0.75635667254271899</c:v>
                </c:pt>
                <c:pt idx="25">
                  <c:v>0.66013171528225634</c:v>
                </c:pt>
                <c:pt idx="26">
                  <c:v>-9.3740726975058836E-2</c:v>
                </c:pt>
                <c:pt idx="27">
                  <c:v>-0.61731395932657807</c:v>
                </c:pt>
                <c:pt idx="28">
                  <c:v>-0.24947698281896993</c:v>
                </c:pt>
                <c:pt idx="29">
                  <c:v>1.1838413908089445</c:v>
                </c:pt>
                <c:pt idx="30">
                  <c:v>1.178979681744954</c:v>
                </c:pt>
                <c:pt idx="31">
                  <c:v>-1.2941016308732336</c:v>
                </c:pt>
                <c:pt idx="32">
                  <c:v>-1.2622731166653476</c:v>
                </c:pt>
                <c:pt idx="33">
                  <c:v>-0.97226082286503923</c:v>
                </c:pt>
                <c:pt idx="34">
                  <c:v>-1.1955939799585138</c:v>
                </c:pt>
                <c:pt idx="35">
                  <c:v>-0.24965890705252855</c:v>
                </c:pt>
                <c:pt idx="36">
                  <c:v>-5.9712835214594626E-2</c:v>
                </c:pt>
                <c:pt idx="37">
                  <c:v>0.12876562769246458</c:v>
                </c:pt>
                <c:pt idx="38">
                  <c:v>0.76555993795090815</c:v>
                </c:pt>
                <c:pt idx="39">
                  <c:v>2.5659298950314007</c:v>
                </c:pt>
                <c:pt idx="40">
                  <c:v>2.1631968149664549</c:v>
                </c:pt>
                <c:pt idx="41">
                  <c:v>-0.73113443436750414</c:v>
                </c:pt>
                <c:pt idx="42">
                  <c:v>1.5305283734628308</c:v>
                </c:pt>
                <c:pt idx="43">
                  <c:v>-2.8882908557593878</c:v>
                </c:pt>
                <c:pt idx="44">
                  <c:v>-0.54063851814142549</c:v>
                </c:pt>
                <c:pt idx="45">
                  <c:v>-1.1067642661133854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9-4CAC-AE07-126B2FB06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9091775"/>
        <c:axId val="1"/>
      </c:barChart>
      <c:catAx>
        <c:axId val="890917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Observations</a:t>
                </a:r>
              </a:p>
            </c:rich>
          </c:tx>
          <c:layout>
            <c:manualLayout>
              <c:xMode val="edge"/>
              <c:yMode val="edge"/>
              <c:x val="3.6781691769243376E-2"/>
              <c:y val="0.3735299481990294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4"/>
        <c:tickMarkSkip val="1"/>
        <c:noMultiLvlLbl val="0"/>
      </c:catAx>
      <c:valAx>
        <c:axId val="1"/>
        <c:scaling>
          <c:orientation val="minMax"/>
          <c:max val="3"/>
          <c:min val="-3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Standardized residuals</a:t>
                </a:r>
              </a:p>
            </c:rich>
          </c:tx>
          <c:layout>
            <c:manualLayout>
              <c:xMode val="edge"/>
              <c:yMode val="edge"/>
              <c:x val="0.37701234063474459"/>
              <c:y val="0.8941189311220862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89091775"/>
        <c:crosses val="autoZero"/>
        <c:crossBetween val="between"/>
      </c:valAx>
      <c:spPr>
        <a:noFill/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/>
  </c:printSettings>
</c:chartSpace>
</file>

<file path=xl/ctrlProps/ctrlProp1.xml><?xml version="1.0" encoding="utf-8"?>
<formControlPr xmlns="http://schemas.microsoft.com/office/spreadsheetml/2009/9/main" objectType="Drop" dropStyle="combo" dx="22" sel="1" val="0">
  <itemLst>
    <item val="Summary statistics"/>
    <item val="Regression of variable Prix"/>
    <item val="Goodness of fit statistics"/>
    <item val="Analysis of variance"/>
    <item val="Model parameters"/>
    <item val="Equation of the model"/>
    <item val="Standardized coefficients"/>
    <item val="Predictions and residuals"/>
  </itemLst>
</formControlPr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117</xdr:row>
      <xdr:rowOff>47625</xdr:rowOff>
    </xdr:from>
    <xdr:to>
      <xdr:col>7</xdr:col>
      <xdr:colOff>0</xdr:colOff>
      <xdr:row>137</xdr:row>
      <xdr:rowOff>47625</xdr:rowOff>
    </xdr:to>
    <xdr:graphicFrame macro="">
      <xdr:nvGraphicFramePr>
        <xdr:cNvPr id="2050" name="Graphique 2">
          <a:extLst>
            <a:ext uri="{FF2B5EF4-FFF2-40B4-BE49-F238E27FC236}">
              <a16:creationId xmlns:a16="http://schemas.microsoft.com/office/drawing/2014/main" id="{CE440F9A-6452-4625-B4E3-A35D738A87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190500</xdr:colOff>
      <xdr:row>117</xdr:row>
      <xdr:rowOff>28575</xdr:rowOff>
    </xdr:from>
    <xdr:to>
      <xdr:col>14</xdr:col>
      <xdr:colOff>66675</xdr:colOff>
      <xdr:row>137</xdr:row>
      <xdr:rowOff>28575</xdr:rowOff>
    </xdr:to>
    <xdr:graphicFrame macro="">
      <xdr:nvGraphicFramePr>
        <xdr:cNvPr id="2051" name="Graphique 3">
          <a:extLst>
            <a:ext uri="{FF2B5EF4-FFF2-40B4-BE49-F238E27FC236}">
              <a16:creationId xmlns:a16="http://schemas.microsoft.com/office/drawing/2014/main" id="{AECCC575-936B-42D4-9D9D-EECECD016C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133350</xdr:colOff>
      <xdr:row>137</xdr:row>
      <xdr:rowOff>0</xdr:rowOff>
    </xdr:from>
    <xdr:to>
      <xdr:col>28</xdr:col>
      <xdr:colOff>9525</xdr:colOff>
      <xdr:row>157</xdr:row>
      <xdr:rowOff>0</xdr:rowOff>
    </xdr:to>
    <xdr:graphicFrame macro="">
      <xdr:nvGraphicFramePr>
        <xdr:cNvPr id="2055" name="Graphique 7">
          <a:extLst>
            <a:ext uri="{FF2B5EF4-FFF2-40B4-BE49-F238E27FC236}">
              <a16:creationId xmlns:a16="http://schemas.microsoft.com/office/drawing/2014/main" id="{7226DFC1-3204-4FA3-928F-156BA628E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9525</xdr:rowOff>
        </xdr:from>
        <xdr:to>
          <xdr:col>3</xdr:col>
          <xdr:colOff>381000</xdr:colOff>
          <xdr:row>8</xdr:row>
          <xdr:rowOff>190500</xdr:rowOff>
        </xdr:to>
        <xdr:sp macro="" textlink="">
          <xdr:nvSpPr>
            <xdr:cNvPr id="2056" name="Zone combinée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545A5632-BD43-4617-94BC-F12F69ADA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48"/>
  <sheetViews>
    <sheetView tabSelected="1" workbookViewId="0">
      <selection activeCell="H28" sqref="H28"/>
    </sheetView>
  </sheetViews>
  <sheetFormatPr baseColWidth="10" defaultRowHeight="12.75" x14ac:dyDescent="0.2"/>
  <cols>
    <col min="1" max="1" width="9.140625" style="1" customWidth="1"/>
    <col min="2" max="2" width="18.7109375" customWidth="1"/>
    <col min="3" max="3" width="10.5703125" style="1" customWidth="1"/>
    <col min="4" max="4" width="13.85546875" style="1" customWidth="1"/>
    <col min="5" max="256" width="9.140625" customWidth="1"/>
  </cols>
  <sheetData>
    <row r="2" spans="1:6" x14ac:dyDescent="0.2">
      <c r="A2" s="2"/>
      <c r="B2" s="3" t="s">
        <v>0</v>
      </c>
      <c r="C2" s="2" t="s">
        <v>1</v>
      </c>
      <c r="D2" s="2" t="s">
        <v>2</v>
      </c>
      <c r="F2" s="38" t="s">
        <v>152</v>
      </c>
    </row>
    <row r="3" spans="1:6" x14ac:dyDescent="0.2">
      <c r="A3" s="4">
        <v>1</v>
      </c>
      <c r="B3" s="5" t="s">
        <v>3</v>
      </c>
      <c r="C3" s="4">
        <v>131</v>
      </c>
      <c r="D3" s="4">
        <v>1150</v>
      </c>
      <c r="F3" s="39">
        <f>D3/C3</f>
        <v>8.778625954198473</v>
      </c>
    </row>
    <row r="4" spans="1:6" x14ac:dyDescent="0.2">
      <c r="A4" s="4">
        <v>2</v>
      </c>
      <c r="B4" s="5" t="s">
        <v>4</v>
      </c>
      <c r="C4" s="4">
        <v>55</v>
      </c>
      <c r="D4" s="4">
        <v>450</v>
      </c>
      <c r="F4" s="39">
        <f t="shared" ref="F4:F48" si="0">D4/C4</f>
        <v>8.1818181818181817</v>
      </c>
    </row>
    <row r="5" spans="1:6" x14ac:dyDescent="0.2">
      <c r="A5" s="4">
        <v>3</v>
      </c>
      <c r="B5" s="5" t="s">
        <v>5</v>
      </c>
      <c r="C5" s="4">
        <v>81</v>
      </c>
      <c r="D5" s="4">
        <v>850</v>
      </c>
      <c r="F5" s="39">
        <f t="shared" si="0"/>
        <v>10.493827160493828</v>
      </c>
    </row>
    <row r="6" spans="1:6" x14ac:dyDescent="0.2">
      <c r="A6" s="4">
        <v>4</v>
      </c>
      <c r="B6" s="5" t="s">
        <v>6</v>
      </c>
      <c r="C6" s="4">
        <v>100</v>
      </c>
      <c r="D6" s="4">
        <v>1180</v>
      </c>
      <c r="F6" s="39">
        <f t="shared" si="0"/>
        <v>11.8</v>
      </c>
    </row>
    <row r="7" spans="1:6" x14ac:dyDescent="0.2">
      <c r="A7" s="4">
        <v>5</v>
      </c>
      <c r="B7" s="5" t="s">
        <v>7</v>
      </c>
      <c r="C7" s="4">
        <v>152</v>
      </c>
      <c r="D7" s="4">
        <v>1575</v>
      </c>
      <c r="F7" s="39">
        <f t="shared" si="0"/>
        <v>10.361842105263158</v>
      </c>
    </row>
    <row r="8" spans="1:6" x14ac:dyDescent="0.2">
      <c r="A8" s="4">
        <v>6</v>
      </c>
      <c r="B8" s="5" t="s">
        <v>8</v>
      </c>
      <c r="C8" s="4">
        <v>145</v>
      </c>
      <c r="D8" s="4">
        <v>1650</v>
      </c>
      <c r="F8" s="39">
        <f t="shared" si="0"/>
        <v>11.379310344827585</v>
      </c>
    </row>
    <row r="9" spans="1:6" x14ac:dyDescent="0.2">
      <c r="A9" s="4">
        <v>7</v>
      </c>
      <c r="B9" s="5" t="s">
        <v>9</v>
      </c>
      <c r="C9" s="4">
        <v>59</v>
      </c>
      <c r="D9" s="4">
        <v>495</v>
      </c>
      <c r="F9" s="39">
        <f t="shared" si="0"/>
        <v>8.3898305084745761</v>
      </c>
    </row>
    <row r="10" spans="1:6" x14ac:dyDescent="0.2">
      <c r="A10" s="4">
        <v>8</v>
      </c>
      <c r="B10" s="5" t="s">
        <v>10</v>
      </c>
      <c r="C10" s="4">
        <v>56</v>
      </c>
      <c r="D10" s="4">
        <v>670</v>
      </c>
      <c r="F10" s="39">
        <f t="shared" si="0"/>
        <v>11.964285714285714</v>
      </c>
    </row>
    <row r="11" spans="1:6" x14ac:dyDescent="0.2">
      <c r="A11" s="4">
        <v>9</v>
      </c>
      <c r="B11" s="5" t="s">
        <v>11</v>
      </c>
      <c r="C11" s="4">
        <v>80</v>
      </c>
      <c r="D11" s="4">
        <v>843</v>
      </c>
      <c r="F11" s="39">
        <f t="shared" si="0"/>
        <v>10.5375</v>
      </c>
    </row>
    <row r="12" spans="1:6" x14ac:dyDescent="0.2">
      <c r="A12" s="4">
        <v>10</v>
      </c>
      <c r="B12" s="5" t="s">
        <v>12</v>
      </c>
      <c r="C12" s="4">
        <v>53</v>
      </c>
      <c r="D12" s="4">
        <v>448</v>
      </c>
      <c r="F12" s="39">
        <f t="shared" si="0"/>
        <v>8.4528301886792452</v>
      </c>
    </row>
    <row r="13" spans="1:6" x14ac:dyDescent="0.2">
      <c r="A13" s="4">
        <v>11</v>
      </c>
      <c r="B13" s="5" t="s">
        <v>13</v>
      </c>
      <c r="C13" s="4">
        <v>78</v>
      </c>
      <c r="D13" s="4">
        <v>650</v>
      </c>
      <c r="F13" s="39">
        <f t="shared" si="0"/>
        <v>8.3333333333333339</v>
      </c>
    </row>
    <row r="14" spans="1:6" x14ac:dyDescent="0.2">
      <c r="A14" s="4">
        <v>12</v>
      </c>
      <c r="B14" s="5" t="s">
        <v>14</v>
      </c>
      <c r="C14" s="4">
        <v>95</v>
      </c>
      <c r="D14" s="4">
        <v>1350</v>
      </c>
      <c r="F14" s="39">
        <f t="shared" si="0"/>
        <v>14.210526315789474</v>
      </c>
    </row>
    <row r="15" spans="1:6" x14ac:dyDescent="0.2">
      <c r="A15" s="4">
        <v>13</v>
      </c>
      <c r="B15" s="5" t="s">
        <v>15</v>
      </c>
      <c r="C15" s="4">
        <v>50</v>
      </c>
      <c r="D15" s="4">
        <v>389</v>
      </c>
      <c r="F15" s="39">
        <f t="shared" si="0"/>
        <v>7.78</v>
      </c>
    </row>
    <row r="16" spans="1:6" x14ac:dyDescent="0.2">
      <c r="A16" s="4">
        <v>14</v>
      </c>
      <c r="B16" s="5" t="s">
        <v>15</v>
      </c>
      <c r="C16" s="4">
        <v>98</v>
      </c>
      <c r="D16" s="4">
        <v>850</v>
      </c>
      <c r="F16" s="39">
        <f t="shared" si="0"/>
        <v>8.6734693877551017</v>
      </c>
    </row>
    <row r="17" spans="1:6" x14ac:dyDescent="0.2">
      <c r="A17" s="4">
        <v>15</v>
      </c>
      <c r="B17" s="5" t="s">
        <v>16</v>
      </c>
      <c r="C17" s="4">
        <v>97</v>
      </c>
      <c r="D17" s="4">
        <v>1150</v>
      </c>
      <c r="F17" s="39">
        <f t="shared" si="0"/>
        <v>11.855670103092784</v>
      </c>
    </row>
    <row r="18" spans="1:6" x14ac:dyDescent="0.2">
      <c r="A18" s="4">
        <v>16</v>
      </c>
      <c r="B18" s="5" t="s">
        <v>17</v>
      </c>
      <c r="C18" s="4">
        <v>98</v>
      </c>
      <c r="D18" s="4">
        <v>850</v>
      </c>
      <c r="F18" s="39">
        <f t="shared" si="0"/>
        <v>8.6734693877551017</v>
      </c>
    </row>
    <row r="19" spans="1:6" x14ac:dyDescent="0.2">
      <c r="A19" s="4">
        <v>17</v>
      </c>
      <c r="B19" s="5" t="s">
        <v>21</v>
      </c>
      <c r="C19" s="4">
        <v>30</v>
      </c>
      <c r="D19" s="4">
        <v>390</v>
      </c>
      <c r="F19" s="39">
        <f t="shared" si="0"/>
        <v>13</v>
      </c>
    </row>
    <row r="20" spans="1:6" x14ac:dyDescent="0.2">
      <c r="A20" s="4">
        <v>18</v>
      </c>
      <c r="B20" s="5" t="s">
        <v>18</v>
      </c>
      <c r="C20" s="4">
        <v>160</v>
      </c>
      <c r="D20" s="4">
        <v>1470</v>
      </c>
      <c r="F20" s="39">
        <f t="shared" si="0"/>
        <v>9.1875</v>
      </c>
    </row>
    <row r="21" spans="1:6" x14ac:dyDescent="0.2">
      <c r="A21" s="4">
        <v>19</v>
      </c>
      <c r="B21" s="5" t="s">
        <v>19</v>
      </c>
      <c r="C21" s="4">
        <v>120</v>
      </c>
      <c r="D21" s="4">
        <v>1250</v>
      </c>
      <c r="F21" s="39">
        <f t="shared" si="0"/>
        <v>10.416666666666666</v>
      </c>
    </row>
    <row r="22" spans="1:6" x14ac:dyDescent="0.2">
      <c r="A22" s="4">
        <v>20</v>
      </c>
      <c r="B22" s="5" t="s">
        <v>20</v>
      </c>
      <c r="C22" s="4">
        <v>68</v>
      </c>
      <c r="D22" s="4">
        <v>650</v>
      </c>
      <c r="F22" s="39">
        <f t="shared" si="0"/>
        <v>9.5588235294117645</v>
      </c>
    </row>
    <row r="23" spans="1:6" x14ac:dyDescent="0.2">
      <c r="A23" s="4">
        <v>21</v>
      </c>
      <c r="B23" s="5" t="s">
        <v>22</v>
      </c>
      <c r="C23" s="4">
        <v>68</v>
      </c>
      <c r="D23" s="4">
        <v>775</v>
      </c>
      <c r="F23" s="39">
        <f t="shared" si="0"/>
        <v>11.397058823529411</v>
      </c>
    </row>
    <row r="24" spans="1:6" x14ac:dyDescent="0.2">
      <c r="A24" s="4">
        <v>22</v>
      </c>
      <c r="B24" s="5" t="s">
        <v>23</v>
      </c>
      <c r="C24" s="4">
        <v>69</v>
      </c>
      <c r="D24" s="4">
        <v>833</v>
      </c>
      <c r="F24" s="39">
        <f t="shared" si="0"/>
        <v>12.072463768115941</v>
      </c>
    </row>
    <row r="25" spans="1:6" x14ac:dyDescent="0.2">
      <c r="A25" s="4">
        <v>23</v>
      </c>
      <c r="B25" s="5" t="s">
        <v>19</v>
      </c>
      <c r="C25" s="4">
        <v>64</v>
      </c>
      <c r="D25" s="4">
        <v>725</v>
      </c>
      <c r="F25" s="39">
        <f t="shared" si="0"/>
        <v>11.328125</v>
      </c>
    </row>
    <row r="26" spans="1:6" x14ac:dyDescent="0.2">
      <c r="A26" s="4">
        <v>24</v>
      </c>
      <c r="B26" s="5" t="s">
        <v>24</v>
      </c>
      <c r="C26" s="4">
        <v>373</v>
      </c>
      <c r="D26" s="4">
        <v>3500</v>
      </c>
      <c r="F26" s="39">
        <f t="shared" si="0"/>
        <v>9.3833780160857909</v>
      </c>
    </row>
    <row r="27" spans="1:6" x14ac:dyDescent="0.2">
      <c r="A27" s="4">
        <v>25</v>
      </c>
      <c r="B27" s="5" t="s">
        <v>24</v>
      </c>
      <c r="C27" s="4">
        <v>101</v>
      </c>
      <c r="D27" s="4">
        <v>836</v>
      </c>
      <c r="F27" s="39">
        <f t="shared" si="0"/>
        <v>8.2772277227722775</v>
      </c>
    </row>
    <row r="28" spans="1:6" x14ac:dyDescent="0.2">
      <c r="A28" s="4">
        <v>26</v>
      </c>
      <c r="B28" s="5" t="s">
        <v>22</v>
      </c>
      <c r="C28" s="4">
        <v>91</v>
      </c>
      <c r="D28" s="4">
        <v>1060</v>
      </c>
      <c r="F28" s="39">
        <f t="shared" si="0"/>
        <v>11.648351648351648</v>
      </c>
    </row>
    <row r="29" spans="1:6" x14ac:dyDescent="0.2">
      <c r="A29" s="4">
        <v>27</v>
      </c>
      <c r="B29" s="5" t="s">
        <v>25</v>
      </c>
      <c r="C29" s="4">
        <v>65</v>
      </c>
      <c r="D29" s="4">
        <v>645</v>
      </c>
      <c r="F29" s="39">
        <f t="shared" si="0"/>
        <v>9.9230769230769234</v>
      </c>
    </row>
    <row r="30" spans="1:6" x14ac:dyDescent="0.2">
      <c r="A30" s="4">
        <v>28</v>
      </c>
      <c r="B30" s="5" t="s">
        <v>26</v>
      </c>
      <c r="C30" s="4">
        <v>132</v>
      </c>
      <c r="D30" s="4">
        <v>1160</v>
      </c>
      <c r="F30" s="39">
        <f t="shared" si="0"/>
        <v>8.7878787878787872</v>
      </c>
    </row>
    <row r="31" spans="1:6" x14ac:dyDescent="0.2">
      <c r="A31" s="4">
        <v>29</v>
      </c>
      <c r="B31" s="5" t="s">
        <v>27</v>
      </c>
      <c r="C31" s="4">
        <v>56</v>
      </c>
      <c r="D31" s="4">
        <v>525</v>
      </c>
      <c r="F31" s="39">
        <f t="shared" si="0"/>
        <v>9.375</v>
      </c>
    </row>
    <row r="32" spans="1:6" x14ac:dyDescent="0.2">
      <c r="A32" s="4">
        <v>30</v>
      </c>
      <c r="B32" s="5" t="s">
        <v>28</v>
      </c>
      <c r="C32" s="4">
        <v>51</v>
      </c>
      <c r="D32" s="4">
        <v>800</v>
      </c>
      <c r="F32" s="39">
        <f t="shared" si="0"/>
        <v>15.686274509803921</v>
      </c>
    </row>
    <row r="33" spans="1:6" x14ac:dyDescent="0.2">
      <c r="A33" s="4">
        <v>31</v>
      </c>
      <c r="B33" s="5" t="s">
        <v>28</v>
      </c>
      <c r="C33" s="4">
        <v>67</v>
      </c>
      <c r="D33" s="4">
        <v>950</v>
      </c>
      <c r="F33" s="39">
        <f t="shared" si="0"/>
        <v>14.17910447761194</v>
      </c>
    </row>
    <row r="34" spans="1:6" x14ac:dyDescent="0.2">
      <c r="A34" s="4">
        <v>32</v>
      </c>
      <c r="B34" s="5" t="s">
        <v>29</v>
      </c>
      <c r="C34" s="4">
        <v>200</v>
      </c>
      <c r="D34" s="4">
        <v>1650</v>
      </c>
      <c r="F34" s="39">
        <f t="shared" si="0"/>
        <v>8.25</v>
      </c>
    </row>
    <row r="35" spans="1:6" x14ac:dyDescent="0.2">
      <c r="A35" s="4">
        <v>33</v>
      </c>
      <c r="B35" s="5" t="s">
        <v>30</v>
      </c>
      <c r="C35" s="4">
        <v>141</v>
      </c>
      <c r="D35" s="4">
        <v>1100</v>
      </c>
      <c r="F35" s="39">
        <f t="shared" si="0"/>
        <v>7.8014184397163122</v>
      </c>
    </row>
    <row r="36" spans="1:6" x14ac:dyDescent="0.2">
      <c r="A36" s="4">
        <v>34</v>
      </c>
      <c r="B36" s="5" t="s">
        <v>31</v>
      </c>
      <c r="C36" s="4">
        <v>118</v>
      </c>
      <c r="D36" s="4">
        <v>948</v>
      </c>
      <c r="F36" s="39">
        <f t="shared" si="0"/>
        <v>8.0338983050847457</v>
      </c>
    </row>
    <row r="37" spans="1:6" x14ac:dyDescent="0.2">
      <c r="A37" s="4">
        <v>35</v>
      </c>
      <c r="B37" s="5" t="s">
        <v>33</v>
      </c>
      <c r="C37" s="4">
        <v>132</v>
      </c>
      <c r="D37" s="4">
        <v>1030</v>
      </c>
      <c r="F37" s="39">
        <f t="shared" si="0"/>
        <v>7.8030303030303028</v>
      </c>
    </row>
    <row r="38" spans="1:6" x14ac:dyDescent="0.2">
      <c r="A38" s="4">
        <v>36</v>
      </c>
      <c r="B38" s="5" t="s">
        <v>32</v>
      </c>
      <c r="C38" s="4">
        <v>20</v>
      </c>
      <c r="D38" s="4">
        <v>185</v>
      </c>
      <c r="F38" s="39">
        <f t="shared" si="0"/>
        <v>9.25</v>
      </c>
    </row>
    <row r="39" spans="1:6" x14ac:dyDescent="0.2">
      <c r="A39" s="4">
        <v>37</v>
      </c>
      <c r="B39" s="5" t="s">
        <v>34</v>
      </c>
      <c r="C39" s="4">
        <v>50</v>
      </c>
      <c r="D39" s="4">
        <v>511</v>
      </c>
      <c r="F39" s="39">
        <f t="shared" si="0"/>
        <v>10.220000000000001</v>
      </c>
    </row>
    <row r="40" spans="1:6" x14ac:dyDescent="0.2">
      <c r="A40" s="4">
        <v>38</v>
      </c>
      <c r="B40" s="5" t="s">
        <v>34</v>
      </c>
      <c r="C40" s="4">
        <v>83</v>
      </c>
      <c r="D40" s="4">
        <v>865</v>
      </c>
      <c r="F40" s="39">
        <f t="shared" si="0"/>
        <v>10.421686746987952</v>
      </c>
    </row>
    <row r="41" spans="1:6" x14ac:dyDescent="0.2">
      <c r="A41" s="4">
        <v>39</v>
      </c>
      <c r="B41" s="5" t="s">
        <v>34</v>
      </c>
      <c r="C41" s="4">
        <v>121</v>
      </c>
      <c r="D41" s="4">
        <v>1367</v>
      </c>
      <c r="F41" s="39">
        <f t="shared" si="0"/>
        <v>11.297520661157025</v>
      </c>
    </row>
    <row r="42" spans="1:6" x14ac:dyDescent="0.2">
      <c r="A42" s="4">
        <v>40</v>
      </c>
      <c r="B42" s="5" t="s">
        <v>35</v>
      </c>
      <c r="C42" s="4">
        <v>178</v>
      </c>
      <c r="D42" s="4">
        <v>2310</v>
      </c>
      <c r="F42" s="39">
        <f t="shared" si="0"/>
        <v>12.97752808988764</v>
      </c>
    </row>
    <row r="43" spans="1:6" x14ac:dyDescent="0.2">
      <c r="A43" s="4">
        <v>41</v>
      </c>
      <c r="B43" s="5" t="s">
        <v>35</v>
      </c>
      <c r="C43" s="4">
        <v>195</v>
      </c>
      <c r="D43" s="4">
        <v>2380</v>
      </c>
      <c r="F43" s="39">
        <f t="shared" si="0"/>
        <v>12.205128205128204</v>
      </c>
    </row>
    <row r="44" spans="1:6" x14ac:dyDescent="0.2">
      <c r="A44" s="4">
        <v>42</v>
      </c>
      <c r="B44" s="5" t="s">
        <v>32</v>
      </c>
      <c r="C44" s="4">
        <v>104</v>
      </c>
      <c r="D44" s="4">
        <v>870</v>
      </c>
      <c r="F44" s="39">
        <f t="shared" si="0"/>
        <v>8.365384615384615</v>
      </c>
    </row>
    <row r="45" spans="1:6" x14ac:dyDescent="0.2">
      <c r="A45" s="4">
        <v>43</v>
      </c>
      <c r="B45" s="5" t="s">
        <v>28</v>
      </c>
      <c r="C45" s="4">
        <v>191</v>
      </c>
      <c r="D45" s="4">
        <v>2200</v>
      </c>
      <c r="F45" s="39">
        <f t="shared" si="0"/>
        <v>11.518324607329843</v>
      </c>
    </row>
    <row r="46" spans="1:6" x14ac:dyDescent="0.2">
      <c r="A46" s="4">
        <v>44</v>
      </c>
      <c r="B46" s="5" t="s">
        <v>36</v>
      </c>
      <c r="C46" s="4">
        <v>158</v>
      </c>
      <c r="D46" s="4">
        <v>895</v>
      </c>
      <c r="F46" s="39">
        <f t="shared" si="0"/>
        <v>5.6645569620253164</v>
      </c>
    </row>
    <row r="47" spans="1:6" x14ac:dyDescent="0.2">
      <c r="A47" s="4">
        <v>45</v>
      </c>
      <c r="B47" s="5" t="s">
        <v>37</v>
      </c>
      <c r="C47" s="4">
        <v>145</v>
      </c>
      <c r="D47" s="4">
        <v>1300</v>
      </c>
      <c r="F47" s="39">
        <f t="shared" si="0"/>
        <v>8.9655172413793096</v>
      </c>
    </row>
    <row r="48" spans="1:6" x14ac:dyDescent="0.2">
      <c r="A48" s="4">
        <v>46</v>
      </c>
      <c r="B48" s="5" t="s">
        <v>38</v>
      </c>
      <c r="C48" s="4">
        <v>105</v>
      </c>
      <c r="D48" s="4">
        <v>795</v>
      </c>
      <c r="F48" s="39">
        <f t="shared" si="0"/>
        <v>7.5714285714285712</v>
      </c>
    </row>
  </sheetData>
  <phoneticPr fontId="1" type="noConversion"/>
  <pageMargins left="0.78740157499999996" right="0.78740157499999996" top="0.984251969" bottom="0.984251969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41"/>
  <sheetViews>
    <sheetView topLeftCell="A113" workbookViewId="0">
      <selection activeCell="B141" sqref="B141:F141"/>
    </sheetView>
  </sheetViews>
  <sheetFormatPr baseColWidth="10" defaultRowHeight="12.75" x14ac:dyDescent="0.2"/>
  <cols>
    <col min="1" max="1" width="10.85546875" customWidth="1"/>
    <col min="2" max="2" width="15.85546875" customWidth="1"/>
    <col min="3" max="3" width="9.5703125" bestFit="1" customWidth="1"/>
    <col min="4" max="4" width="15.7109375" customWidth="1"/>
    <col min="5" max="5" width="12.5703125" bestFit="1" customWidth="1"/>
    <col min="6" max="6" width="9.140625" customWidth="1"/>
    <col min="7" max="8" width="17.28515625" customWidth="1"/>
    <col min="9" max="256" width="9.140625" customWidth="1"/>
  </cols>
  <sheetData>
    <row r="1" spans="1:9" s="36" customFormat="1" x14ac:dyDescent="0.2">
      <c r="A1" s="36" t="s">
        <v>153</v>
      </c>
      <c r="B1" s="36" t="s">
        <v>154</v>
      </c>
      <c r="C1" s="40">
        <f>AVERAGE(Données!F3:F48)</f>
        <v>10.096362854513291</v>
      </c>
      <c r="D1" s="36" t="s">
        <v>155</v>
      </c>
    </row>
    <row r="3" spans="1:9" s="36" customFormat="1" x14ac:dyDescent="0.2">
      <c r="A3" s="36" t="s">
        <v>156</v>
      </c>
    </row>
    <row r="5" spans="1:9" x14ac:dyDescent="0.2">
      <c r="B5" t="s">
        <v>144</v>
      </c>
    </row>
    <row r="6" spans="1:9" x14ac:dyDescent="0.2">
      <c r="B6" t="s">
        <v>39</v>
      </c>
    </row>
    <row r="7" spans="1:9" x14ac:dyDescent="0.2">
      <c r="B7" t="s">
        <v>40</v>
      </c>
    </row>
    <row r="8" spans="1:9" x14ac:dyDescent="0.2">
      <c r="B8" t="s">
        <v>41</v>
      </c>
    </row>
    <row r="9" spans="1:9" ht="16.350000000000001" customHeight="1" x14ac:dyDescent="0.2"/>
    <row r="12" spans="1:9" x14ac:dyDescent="0.2">
      <c r="B12" t="s">
        <v>42</v>
      </c>
    </row>
    <row r="13" spans="1:9" ht="13.5" thickBot="1" x14ac:dyDescent="0.25"/>
    <row r="14" spans="1:9" x14ac:dyDescent="0.2">
      <c r="B14" s="6" t="s">
        <v>43</v>
      </c>
      <c r="C14" s="6" t="s">
        <v>44</v>
      </c>
      <c r="D14" s="6" t="s">
        <v>45</v>
      </c>
      <c r="E14" s="6" t="s">
        <v>46</v>
      </c>
      <c r="F14" s="6" t="s">
        <v>47</v>
      </c>
      <c r="G14" s="6" t="s">
        <v>48</v>
      </c>
      <c r="H14" s="6" t="s">
        <v>49</v>
      </c>
      <c r="I14" s="6" t="s">
        <v>50</v>
      </c>
    </row>
    <row r="15" spans="1:9" x14ac:dyDescent="0.2">
      <c r="B15" s="7" t="s">
        <v>2</v>
      </c>
      <c r="C15" s="9">
        <v>46</v>
      </c>
      <c r="D15" s="9">
        <v>0</v>
      </c>
      <c r="E15" s="9">
        <v>46</v>
      </c>
      <c r="F15" s="11">
        <v>185</v>
      </c>
      <c r="G15" s="11">
        <v>3500</v>
      </c>
      <c r="H15" s="11">
        <v>1054.891304347826</v>
      </c>
      <c r="I15" s="11">
        <v>609.53028284120808</v>
      </c>
    </row>
    <row r="16" spans="1:9" ht="13.5" thickBot="1" x14ac:dyDescent="0.25">
      <c r="B16" s="8" t="s">
        <v>1</v>
      </c>
      <c r="C16" s="10">
        <v>46</v>
      </c>
      <c r="D16" s="10">
        <v>0</v>
      </c>
      <c r="E16" s="10">
        <v>46</v>
      </c>
      <c r="F16" s="12">
        <v>20</v>
      </c>
      <c r="G16" s="12">
        <v>373</v>
      </c>
      <c r="H16" s="12">
        <v>106.17391304347827</v>
      </c>
      <c r="I16" s="12">
        <v>60.100768842494325</v>
      </c>
    </row>
    <row r="19" spans="2:3" x14ac:dyDescent="0.2">
      <c r="B19" s="13" t="s">
        <v>51</v>
      </c>
    </row>
    <row r="21" spans="2:3" x14ac:dyDescent="0.2">
      <c r="B21" t="s">
        <v>52</v>
      </c>
    </row>
    <row r="22" spans="2:3" ht="13.5" thickBot="1" x14ac:dyDescent="0.25"/>
    <row r="23" spans="2:3" x14ac:dyDescent="0.2">
      <c r="B23" s="14" t="s">
        <v>44</v>
      </c>
      <c r="C23" s="15">
        <v>46</v>
      </c>
    </row>
    <row r="24" spans="2:3" x14ac:dyDescent="0.2">
      <c r="B24" t="s">
        <v>53</v>
      </c>
      <c r="C24" s="16">
        <v>46</v>
      </c>
    </row>
    <row r="25" spans="2:3" x14ac:dyDescent="0.2">
      <c r="B25" t="s">
        <v>54</v>
      </c>
      <c r="C25" s="16">
        <v>44</v>
      </c>
    </row>
    <row r="26" spans="2:3" x14ac:dyDescent="0.2">
      <c r="B26" t="s">
        <v>55</v>
      </c>
      <c r="C26" s="16">
        <v>0.86699746543227962</v>
      </c>
    </row>
    <row r="27" spans="2:3" x14ac:dyDescent="0.2">
      <c r="B27" t="s">
        <v>56</v>
      </c>
      <c r="C27" s="16">
        <v>0.86397468055574056</v>
      </c>
    </row>
    <row r="28" spans="2:3" x14ac:dyDescent="0.2">
      <c r="B28" t="s">
        <v>57</v>
      </c>
      <c r="C28" s="16">
        <v>50537.101396628517</v>
      </c>
    </row>
    <row r="29" spans="2:3" x14ac:dyDescent="0.2">
      <c r="B29" t="s">
        <v>58</v>
      </c>
      <c r="C29" s="16">
        <v>224.80458491015818</v>
      </c>
    </row>
    <row r="30" spans="2:3" x14ac:dyDescent="0.2">
      <c r="B30" t="s">
        <v>59</v>
      </c>
      <c r="C30" s="16">
        <v>17.377904236057507</v>
      </c>
    </row>
    <row r="31" spans="2:3" x14ac:dyDescent="0.2">
      <c r="B31" t="s">
        <v>60</v>
      </c>
      <c r="C31" s="16">
        <v>1.7748850474562818</v>
      </c>
    </row>
    <row r="32" spans="2:3" x14ac:dyDescent="0.2">
      <c r="B32" t="s">
        <v>61</v>
      </c>
      <c r="C32" s="16">
        <v>2</v>
      </c>
    </row>
    <row r="33" spans="2:7" x14ac:dyDescent="0.2">
      <c r="B33" t="s">
        <v>62</v>
      </c>
      <c r="C33" s="16">
        <v>500.15651814712385</v>
      </c>
    </row>
    <row r="34" spans="2:7" x14ac:dyDescent="0.2">
      <c r="B34" t="s">
        <v>63</v>
      </c>
      <c r="C34" s="16">
        <v>503.81380094010206</v>
      </c>
    </row>
    <row r="35" spans="2:7" ht="13.5" thickBot="1" x14ac:dyDescent="0.25">
      <c r="B35" s="8" t="s">
        <v>64</v>
      </c>
      <c r="C35" s="12">
        <v>0.14509367407387672</v>
      </c>
    </row>
    <row r="38" spans="2:7" x14ac:dyDescent="0.2">
      <c r="B38" t="s">
        <v>65</v>
      </c>
    </row>
    <row r="39" spans="2:7" ht="13.5" thickBot="1" x14ac:dyDescent="0.25"/>
    <row r="40" spans="2:7" x14ac:dyDescent="0.2">
      <c r="B40" s="6" t="s">
        <v>66</v>
      </c>
      <c r="C40" s="6" t="s">
        <v>54</v>
      </c>
      <c r="D40" s="6" t="s">
        <v>67</v>
      </c>
      <c r="E40" s="6" t="s">
        <v>68</v>
      </c>
      <c r="F40" s="6" t="s">
        <v>69</v>
      </c>
      <c r="G40" s="6" t="s">
        <v>70</v>
      </c>
    </row>
    <row r="41" spans="2:7" x14ac:dyDescent="0.2">
      <c r="B41" s="17" t="s">
        <v>71</v>
      </c>
      <c r="C41" s="18">
        <v>1</v>
      </c>
      <c r="D41" s="20">
        <v>14495089.995070087</v>
      </c>
      <c r="E41" s="20">
        <v>14495089.995070087</v>
      </c>
      <c r="F41" s="20">
        <v>286.82076325091924</v>
      </c>
      <c r="G41" s="21" t="s">
        <v>74</v>
      </c>
    </row>
    <row r="42" spans="2:7" x14ac:dyDescent="0.2">
      <c r="B42" t="s">
        <v>72</v>
      </c>
      <c r="C42" s="19">
        <v>44</v>
      </c>
      <c r="D42" s="16">
        <v>2223632.4614516548</v>
      </c>
      <c r="E42" s="16">
        <v>50537.101396628517</v>
      </c>
      <c r="F42" s="16"/>
      <c r="G42" s="16"/>
    </row>
    <row r="43" spans="2:7" ht="13.5" thickBot="1" x14ac:dyDescent="0.25">
      <c r="B43" s="8" t="s">
        <v>73</v>
      </c>
      <c r="C43" s="10">
        <v>45</v>
      </c>
      <c r="D43" s="12">
        <v>16718722.456521742</v>
      </c>
      <c r="E43" s="12"/>
      <c r="F43" s="12"/>
      <c r="G43" s="12"/>
    </row>
    <row r="44" spans="2:7" x14ac:dyDescent="0.2">
      <c r="B44" s="22" t="s">
        <v>75</v>
      </c>
    </row>
    <row r="47" spans="2:7" x14ac:dyDescent="0.2">
      <c r="B47" t="s">
        <v>76</v>
      </c>
    </row>
    <row r="48" spans="2:7" ht="13.5" thickBot="1" x14ac:dyDescent="0.25"/>
    <row r="49" spans="2:15" x14ac:dyDescent="0.2">
      <c r="B49" s="6" t="s">
        <v>66</v>
      </c>
      <c r="C49" s="6" t="s">
        <v>77</v>
      </c>
      <c r="D49" s="6" t="s">
        <v>78</v>
      </c>
      <c r="E49" s="6" t="s">
        <v>79</v>
      </c>
      <c r="F49" s="6" t="s">
        <v>80</v>
      </c>
      <c r="G49" s="6" t="s">
        <v>81</v>
      </c>
      <c r="H49" s="6" t="s">
        <v>82</v>
      </c>
      <c r="I49" s="36" t="s">
        <v>147</v>
      </c>
      <c r="J49" s="36"/>
      <c r="K49" s="36"/>
      <c r="L49" s="36"/>
      <c r="M49" s="36"/>
      <c r="N49" s="36"/>
      <c r="O49" s="36"/>
    </row>
    <row r="50" spans="2:15" x14ac:dyDescent="0.2">
      <c r="B50" s="27" t="s">
        <v>83</v>
      </c>
      <c r="C50" s="28">
        <v>52.25829885896205</v>
      </c>
      <c r="D50" s="20">
        <v>67.849205489866705</v>
      </c>
      <c r="E50" s="20">
        <v>0.77021239204881831</v>
      </c>
      <c r="F50" s="20">
        <v>0.44528976821260713</v>
      </c>
      <c r="G50" s="35">
        <v>-84.482789836817304</v>
      </c>
      <c r="H50" s="35">
        <v>188.99938755474142</v>
      </c>
      <c r="I50" s="36" t="s">
        <v>148</v>
      </c>
      <c r="J50" s="36"/>
      <c r="K50" s="36"/>
      <c r="L50" s="36"/>
      <c r="M50" s="36"/>
      <c r="N50" s="36"/>
      <c r="O50" s="36"/>
    </row>
    <row r="51" spans="2:15" ht="13.5" thickBot="1" x14ac:dyDescent="0.25">
      <c r="B51" s="29" t="s">
        <v>1</v>
      </c>
      <c r="C51" s="30">
        <v>9.4433084055052703</v>
      </c>
      <c r="D51" s="12">
        <v>0.55759501161580016</v>
      </c>
      <c r="E51" s="12">
        <v>16.93578351452684</v>
      </c>
      <c r="F51" s="23" t="s">
        <v>74</v>
      </c>
      <c r="G51" s="33">
        <v>8.3195494994254098</v>
      </c>
      <c r="H51" s="33">
        <v>10.567067311585131</v>
      </c>
      <c r="I51" s="34" t="s">
        <v>146</v>
      </c>
      <c r="J51" s="34"/>
      <c r="K51" s="34"/>
      <c r="L51" s="34"/>
    </row>
    <row r="54" spans="2:15" x14ac:dyDescent="0.2">
      <c r="B54" t="s">
        <v>84</v>
      </c>
    </row>
    <row r="56" spans="2:15" x14ac:dyDescent="0.2">
      <c r="B56" s="31" t="s">
        <v>145</v>
      </c>
      <c r="C56" s="32"/>
      <c r="D56" s="32" t="s">
        <v>149</v>
      </c>
      <c r="E56" s="32"/>
      <c r="F56" s="32"/>
    </row>
    <row r="59" spans="2:15" x14ac:dyDescent="0.2">
      <c r="B59" t="s">
        <v>85</v>
      </c>
    </row>
    <row r="60" spans="2:15" ht="13.5" thickBot="1" x14ac:dyDescent="0.25"/>
    <row r="61" spans="2:15" x14ac:dyDescent="0.2">
      <c r="B61" s="6" t="s">
        <v>66</v>
      </c>
      <c r="C61" s="6" t="s">
        <v>77</v>
      </c>
      <c r="D61" s="6" t="s">
        <v>78</v>
      </c>
      <c r="E61" s="6" t="s">
        <v>79</v>
      </c>
      <c r="F61" s="6" t="s">
        <v>80</v>
      </c>
      <c r="G61" s="6" t="s">
        <v>81</v>
      </c>
      <c r="H61" s="6" t="s">
        <v>82</v>
      </c>
    </row>
    <row r="62" spans="2:15" ht="13.5" thickBot="1" x14ac:dyDescent="0.25">
      <c r="B62" s="24" t="s">
        <v>1</v>
      </c>
      <c r="C62" s="25">
        <v>0.93112698673826411</v>
      </c>
      <c r="D62" s="25">
        <v>5.4979858826111026E-2</v>
      </c>
      <c r="E62" s="25">
        <v>16.93578351452684</v>
      </c>
      <c r="F62" s="26" t="s">
        <v>74</v>
      </c>
      <c r="G62" s="25">
        <v>0.82032236201284281</v>
      </c>
      <c r="H62" s="25">
        <v>1.0419316114636854</v>
      </c>
    </row>
    <row r="65" spans="2:14" x14ac:dyDescent="0.2">
      <c r="B65" t="s">
        <v>86</v>
      </c>
    </row>
    <row r="66" spans="2:14" ht="13.5" thickBot="1" x14ac:dyDescent="0.25"/>
    <row r="67" spans="2:14" x14ac:dyDescent="0.2">
      <c r="B67" s="6" t="s">
        <v>87</v>
      </c>
      <c r="C67" s="6" t="s">
        <v>88</v>
      </c>
      <c r="D67" s="6" t="s">
        <v>1</v>
      </c>
      <c r="E67" s="6" t="s">
        <v>2</v>
      </c>
      <c r="F67" s="6" t="s">
        <v>89</v>
      </c>
      <c r="G67" s="6" t="s">
        <v>90</v>
      </c>
      <c r="H67" s="6" t="s">
        <v>91</v>
      </c>
      <c r="I67" s="6" t="s">
        <v>92</v>
      </c>
      <c r="J67" s="6" t="s">
        <v>93</v>
      </c>
      <c r="K67" s="6" t="s">
        <v>94</v>
      </c>
      <c r="L67" s="6" t="s">
        <v>95</v>
      </c>
      <c r="M67" s="6" t="s">
        <v>96</v>
      </c>
      <c r="N67" s="6" t="s">
        <v>97</v>
      </c>
    </row>
    <row r="68" spans="2:14" x14ac:dyDescent="0.2">
      <c r="B68" s="17" t="s">
        <v>98</v>
      </c>
      <c r="C68" s="18">
        <v>1</v>
      </c>
      <c r="D68" s="20">
        <v>131</v>
      </c>
      <c r="E68" s="20">
        <v>1150</v>
      </c>
      <c r="F68" s="20">
        <v>1289.3316999801525</v>
      </c>
      <c r="G68" s="20">
        <v>-139.33169998015251</v>
      </c>
      <c r="H68" s="20">
        <v>-0.61979029491696347</v>
      </c>
      <c r="I68" s="20">
        <v>35.920169565564485</v>
      </c>
      <c r="J68" s="20">
        <v>1216.939354969335</v>
      </c>
      <c r="K68" s="20">
        <v>1361.72404499097</v>
      </c>
      <c r="L68" s="20">
        <v>227.65623202154475</v>
      </c>
      <c r="M68" s="20">
        <v>830.52071184479041</v>
      </c>
      <c r="N68" s="20">
        <v>1748.1426881155146</v>
      </c>
    </row>
    <row r="69" spans="2:14" x14ac:dyDescent="0.2">
      <c r="B69" t="s">
        <v>99</v>
      </c>
      <c r="C69" s="19">
        <v>1</v>
      </c>
      <c r="D69" s="16">
        <v>55</v>
      </c>
      <c r="E69" s="16">
        <v>450</v>
      </c>
      <c r="F69" s="16">
        <v>571.64026116175194</v>
      </c>
      <c r="G69" s="16">
        <v>-121.64026116175194</v>
      </c>
      <c r="H69" s="16">
        <v>-0.54109332872532268</v>
      </c>
      <c r="I69" s="16">
        <v>43.736026101905843</v>
      </c>
      <c r="J69" s="16">
        <v>483.49609232111874</v>
      </c>
      <c r="K69" s="16">
        <v>659.78443000238508</v>
      </c>
      <c r="L69" s="16">
        <v>229.01952182251867</v>
      </c>
      <c r="M69" s="16">
        <v>110.08174296694257</v>
      </c>
      <c r="N69" s="16">
        <v>1033.1987793565613</v>
      </c>
    </row>
    <row r="70" spans="2:14" x14ac:dyDescent="0.2">
      <c r="B70" t="s">
        <v>100</v>
      </c>
      <c r="C70" s="19">
        <v>1</v>
      </c>
      <c r="D70" s="16">
        <v>81</v>
      </c>
      <c r="E70" s="16">
        <v>850</v>
      </c>
      <c r="F70" s="16">
        <v>817.16627970488889</v>
      </c>
      <c r="G70" s="16">
        <v>32.833720295111107</v>
      </c>
      <c r="H70" s="16">
        <v>0.14605449576676965</v>
      </c>
      <c r="I70" s="16">
        <v>35.995357343163228</v>
      </c>
      <c r="J70" s="16">
        <v>744.62240368510459</v>
      </c>
      <c r="K70" s="16">
        <v>889.7101557246732</v>
      </c>
      <c r="L70" s="16">
        <v>227.6681074434681</v>
      </c>
      <c r="M70" s="16">
        <v>358.3313582292497</v>
      </c>
      <c r="N70" s="16">
        <v>1276.0012011805281</v>
      </c>
    </row>
    <row r="71" spans="2:14" x14ac:dyDescent="0.2">
      <c r="B71" t="s">
        <v>101</v>
      </c>
      <c r="C71" s="19">
        <v>1</v>
      </c>
      <c r="D71" s="16">
        <v>100</v>
      </c>
      <c r="E71" s="16">
        <v>1180</v>
      </c>
      <c r="F71" s="16">
        <v>996.58913940948912</v>
      </c>
      <c r="G71" s="16">
        <v>183.41086059051088</v>
      </c>
      <c r="H71" s="16">
        <v>0.81586797112616694</v>
      </c>
      <c r="I71" s="16">
        <v>33.323921470275764</v>
      </c>
      <c r="J71" s="16">
        <v>929.42918862511749</v>
      </c>
      <c r="K71" s="16">
        <v>1063.7490901938606</v>
      </c>
      <c r="L71" s="16">
        <v>227.26105064173584</v>
      </c>
      <c r="M71" s="16">
        <v>538.5745870130163</v>
      </c>
      <c r="N71" s="16">
        <v>1454.6036918059619</v>
      </c>
    </row>
    <row r="72" spans="2:14" x14ac:dyDescent="0.2">
      <c r="B72" t="s">
        <v>102</v>
      </c>
      <c r="C72" s="19">
        <v>1</v>
      </c>
      <c r="D72" s="16">
        <v>152</v>
      </c>
      <c r="E72" s="16">
        <v>1575</v>
      </c>
      <c r="F72" s="16">
        <v>1487.6411764957631</v>
      </c>
      <c r="G72" s="16">
        <v>87.358823504236852</v>
      </c>
      <c r="H72" s="16">
        <v>0.38859894044932086</v>
      </c>
      <c r="I72" s="16">
        <v>41.851614741658722</v>
      </c>
      <c r="J72" s="16">
        <v>1403.2947892074781</v>
      </c>
      <c r="K72" s="16">
        <v>1571.9875637840482</v>
      </c>
      <c r="L72" s="16">
        <v>228.66713592712168</v>
      </c>
      <c r="M72" s="16">
        <v>1026.7928454082269</v>
      </c>
      <c r="N72" s="16">
        <v>1948.4895075832994</v>
      </c>
    </row>
    <row r="73" spans="2:14" x14ac:dyDescent="0.2">
      <c r="B73" t="s">
        <v>103</v>
      </c>
      <c r="C73" s="19">
        <v>1</v>
      </c>
      <c r="D73" s="16">
        <v>145</v>
      </c>
      <c r="E73" s="16">
        <v>1650</v>
      </c>
      <c r="F73" s="16">
        <v>1421.5380176572262</v>
      </c>
      <c r="G73" s="16">
        <v>228.46198234277381</v>
      </c>
      <c r="H73" s="16">
        <v>1.0162692297137859</v>
      </c>
      <c r="I73" s="16">
        <v>39.589416551546464</v>
      </c>
      <c r="J73" s="16">
        <v>1341.7507912482497</v>
      </c>
      <c r="K73" s="16">
        <v>1501.3252440662027</v>
      </c>
      <c r="L73" s="16">
        <v>228.26393341813852</v>
      </c>
      <c r="M73" s="16">
        <v>961.50228783222724</v>
      </c>
      <c r="N73" s="16">
        <v>1881.5737474822251</v>
      </c>
    </row>
    <row r="74" spans="2:14" x14ac:dyDescent="0.2">
      <c r="B74" t="s">
        <v>104</v>
      </c>
      <c r="C74" s="19">
        <v>1</v>
      </c>
      <c r="D74" s="16">
        <v>59</v>
      </c>
      <c r="E74" s="16">
        <v>495</v>
      </c>
      <c r="F74" s="16">
        <v>609.41349478377299</v>
      </c>
      <c r="G74" s="16">
        <v>-114.41349478377299</v>
      </c>
      <c r="H74" s="16">
        <v>-0.50894644710870851</v>
      </c>
      <c r="I74" s="16">
        <v>42.314652597881995</v>
      </c>
      <c r="J74" s="16">
        <v>524.13391601431726</v>
      </c>
      <c r="K74" s="16">
        <v>694.69307355322871</v>
      </c>
      <c r="L74" s="16">
        <v>228.75233599049423</v>
      </c>
      <c r="M74" s="16">
        <v>148.3934542511754</v>
      </c>
      <c r="N74" s="16">
        <v>1070.4335353163706</v>
      </c>
    </row>
    <row r="75" spans="2:14" x14ac:dyDescent="0.2">
      <c r="B75" t="s">
        <v>105</v>
      </c>
      <c r="C75" s="19">
        <v>1</v>
      </c>
      <c r="D75" s="16">
        <v>56</v>
      </c>
      <c r="E75" s="16">
        <v>670</v>
      </c>
      <c r="F75" s="16">
        <v>581.0835695672572</v>
      </c>
      <c r="G75" s="16">
        <v>88.9164304327428</v>
      </c>
      <c r="H75" s="16">
        <v>0.39552765557818903</v>
      </c>
      <c r="I75" s="16">
        <v>43.374297734013695</v>
      </c>
      <c r="J75" s="16">
        <v>493.66841635002885</v>
      </c>
      <c r="K75" s="16">
        <v>668.49872278448549</v>
      </c>
      <c r="L75" s="16">
        <v>228.95071762400613</v>
      </c>
      <c r="M75" s="16">
        <v>119.66371712311532</v>
      </c>
      <c r="N75" s="16">
        <v>1042.5034220113992</v>
      </c>
    </row>
    <row r="76" spans="2:14" x14ac:dyDescent="0.2">
      <c r="B76" t="s">
        <v>106</v>
      </c>
      <c r="C76" s="19">
        <v>1</v>
      </c>
      <c r="D76" s="16">
        <v>80</v>
      </c>
      <c r="E76" s="16">
        <v>843</v>
      </c>
      <c r="F76" s="16">
        <v>807.72297129938363</v>
      </c>
      <c r="G76" s="16">
        <v>35.27702870061637</v>
      </c>
      <c r="H76" s="16">
        <v>0.1569230837294294</v>
      </c>
      <c r="I76" s="16">
        <v>36.216438473168473</v>
      </c>
      <c r="J76" s="16">
        <v>734.73353553886625</v>
      </c>
      <c r="K76" s="16">
        <v>880.71240705990101</v>
      </c>
      <c r="L76" s="16">
        <v>227.70316601292419</v>
      </c>
      <c r="M76" s="16">
        <v>348.81739391965641</v>
      </c>
      <c r="N76" s="16">
        <v>1266.6285486791107</v>
      </c>
    </row>
    <row r="77" spans="2:14" x14ac:dyDescent="0.2">
      <c r="B77" t="s">
        <v>107</v>
      </c>
      <c r="C77" s="19">
        <v>1</v>
      </c>
      <c r="D77" s="16">
        <v>53</v>
      </c>
      <c r="E77" s="16">
        <v>448</v>
      </c>
      <c r="F77" s="16">
        <v>552.75364435074141</v>
      </c>
      <c r="G77" s="16">
        <v>-104.75364435074141</v>
      </c>
      <c r="H77" s="16">
        <v>-0.46597645858782455</v>
      </c>
      <c r="I77" s="16">
        <v>44.471631439648235</v>
      </c>
      <c r="J77" s="16">
        <v>463.12696036483737</v>
      </c>
      <c r="K77" s="16">
        <v>642.38032833664545</v>
      </c>
      <c r="L77" s="16">
        <v>229.16113850199912</v>
      </c>
      <c r="M77" s="16">
        <v>90.909716492107322</v>
      </c>
      <c r="N77" s="16">
        <v>1014.5975722093756</v>
      </c>
    </row>
    <row r="78" spans="2:14" x14ac:dyDescent="0.2">
      <c r="B78" t="s">
        <v>108</v>
      </c>
      <c r="C78" s="19">
        <v>1</v>
      </c>
      <c r="D78" s="16">
        <v>78</v>
      </c>
      <c r="E78" s="16">
        <v>650</v>
      </c>
      <c r="F78" s="16">
        <v>788.8363544883731</v>
      </c>
      <c r="G78" s="16">
        <v>-138.8363544883731</v>
      </c>
      <c r="H78" s="16">
        <v>-0.61758684567691635</v>
      </c>
      <c r="I78" s="16">
        <v>36.680038436460705</v>
      </c>
      <c r="J78" s="16">
        <v>714.91259439432508</v>
      </c>
      <c r="K78" s="16">
        <v>862.76011458242112</v>
      </c>
      <c r="L78" s="16">
        <v>227.77736194874316</v>
      </c>
      <c r="M78" s="16">
        <v>329.78124502544114</v>
      </c>
      <c r="N78" s="16">
        <v>1247.891463951305</v>
      </c>
    </row>
    <row r="79" spans="2:14" x14ac:dyDescent="0.2">
      <c r="B79" t="s">
        <v>109</v>
      </c>
      <c r="C79" s="19">
        <v>1</v>
      </c>
      <c r="D79" s="16">
        <v>95</v>
      </c>
      <c r="E79" s="16">
        <v>1350</v>
      </c>
      <c r="F79" s="16">
        <v>949.37259738196269</v>
      </c>
      <c r="G79" s="16">
        <v>400.62740261803731</v>
      </c>
      <c r="H79" s="16">
        <v>1.7821140203975185</v>
      </c>
      <c r="I79" s="16">
        <v>33.726132238438147</v>
      </c>
      <c r="J79" s="16">
        <v>881.40204405734607</v>
      </c>
      <c r="K79" s="16">
        <v>1017.3431507065793</v>
      </c>
      <c r="L79" s="16">
        <v>227.32037610472392</v>
      </c>
      <c r="M79" s="16">
        <v>491.23848237104511</v>
      </c>
      <c r="N79" s="16">
        <v>1407.5067123928802</v>
      </c>
    </row>
    <row r="80" spans="2:14" x14ac:dyDescent="0.2">
      <c r="B80" t="s">
        <v>110</v>
      </c>
      <c r="C80" s="19">
        <v>1</v>
      </c>
      <c r="D80" s="16">
        <v>50</v>
      </c>
      <c r="E80" s="16">
        <v>389</v>
      </c>
      <c r="F80" s="16">
        <v>524.42371913422562</v>
      </c>
      <c r="G80" s="16">
        <v>-135.42371913422562</v>
      </c>
      <c r="H80" s="16">
        <v>-0.60240639303841115</v>
      </c>
      <c r="I80" s="16">
        <v>45.603933179437178</v>
      </c>
      <c r="J80" s="16">
        <v>432.51503093746919</v>
      </c>
      <c r="K80" s="16">
        <v>616.33240733098205</v>
      </c>
      <c r="L80" s="16">
        <v>229.38356549252407</v>
      </c>
      <c r="M80" s="16">
        <v>62.131519131207313</v>
      </c>
      <c r="N80" s="16">
        <v>986.71591913724387</v>
      </c>
    </row>
    <row r="81" spans="2:14" x14ac:dyDescent="0.2">
      <c r="B81" t="s">
        <v>111</v>
      </c>
      <c r="C81" s="19">
        <v>1</v>
      </c>
      <c r="D81" s="16">
        <v>98</v>
      </c>
      <c r="E81" s="16">
        <v>850</v>
      </c>
      <c r="F81" s="16">
        <v>977.70252259847848</v>
      </c>
      <c r="G81" s="16">
        <v>-127.70252259847848</v>
      </c>
      <c r="H81" s="16">
        <v>-0.56806013386921816</v>
      </c>
      <c r="I81" s="16">
        <v>33.457518892144961</v>
      </c>
      <c r="J81" s="16">
        <v>910.27332390204288</v>
      </c>
      <c r="K81" s="16">
        <v>1045.1317212949141</v>
      </c>
      <c r="L81" s="16">
        <v>227.28067882476671</v>
      </c>
      <c r="M81" s="16">
        <v>519.64841219838013</v>
      </c>
      <c r="N81" s="16">
        <v>1435.7566329985768</v>
      </c>
    </row>
    <row r="82" spans="2:14" x14ac:dyDescent="0.2">
      <c r="B82" t="s">
        <v>112</v>
      </c>
      <c r="C82" s="19">
        <v>1</v>
      </c>
      <c r="D82" s="16">
        <v>97</v>
      </c>
      <c r="E82" s="16">
        <v>1150</v>
      </c>
      <c r="F82" s="16">
        <v>968.25921419297322</v>
      </c>
      <c r="G82" s="16">
        <v>181.74078580702678</v>
      </c>
      <c r="H82" s="16">
        <v>0.80843896435501261</v>
      </c>
      <c r="I82" s="16">
        <v>33.538026494409884</v>
      </c>
      <c r="J82" s="16">
        <v>900.66776308543706</v>
      </c>
      <c r="K82" s="16">
        <v>1035.8506653005095</v>
      </c>
      <c r="L82" s="16">
        <v>227.29254413149644</v>
      </c>
      <c r="M82" s="16">
        <v>510.18119083843095</v>
      </c>
      <c r="N82" s="16">
        <v>1426.3372375475155</v>
      </c>
    </row>
    <row r="83" spans="2:14" x14ac:dyDescent="0.2">
      <c r="B83" t="s">
        <v>113</v>
      </c>
      <c r="C83" s="19">
        <v>1</v>
      </c>
      <c r="D83" s="16">
        <v>98</v>
      </c>
      <c r="E83" s="16">
        <v>850</v>
      </c>
      <c r="F83" s="16">
        <v>977.70252259847848</v>
      </c>
      <c r="G83" s="16">
        <v>-127.70252259847848</v>
      </c>
      <c r="H83" s="16">
        <v>-0.56806013386921816</v>
      </c>
      <c r="I83" s="16">
        <v>33.457518892144961</v>
      </c>
      <c r="J83" s="16">
        <v>910.27332390204288</v>
      </c>
      <c r="K83" s="16">
        <v>1045.1317212949141</v>
      </c>
      <c r="L83" s="16">
        <v>227.28067882476671</v>
      </c>
      <c r="M83" s="16">
        <v>519.64841219838013</v>
      </c>
      <c r="N83" s="16">
        <v>1435.7566329985768</v>
      </c>
    </row>
    <row r="84" spans="2:14" x14ac:dyDescent="0.2">
      <c r="B84" t="s">
        <v>114</v>
      </c>
      <c r="C84" s="19">
        <v>1</v>
      </c>
      <c r="D84" s="16">
        <v>30</v>
      </c>
      <c r="E84" s="16">
        <v>390</v>
      </c>
      <c r="F84" s="16">
        <v>335.55755102412013</v>
      </c>
      <c r="G84" s="16">
        <v>54.44244897587987</v>
      </c>
      <c r="H84" s="16">
        <v>0.24217677320788394</v>
      </c>
      <c r="I84" s="16">
        <v>53.87661634620266</v>
      </c>
      <c r="J84" s="16">
        <v>226.9763654194507</v>
      </c>
      <c r="K84" s="16">
        <v>444.13873662878956</v>
      </c>
      <c r="L84" s="16">
        <v>231.17048078321858</v>
      </c>
      <c r="M84" s="16">
        <v>-130.33594011403454</v>
      </c>
      <c r="N84" s="16">
        <v>801.4510421622748</v>
      </c>
    </row>
    <row r="85" spans="2:14" x14ac:dyDescent="0.2">
      <c r="B85" t="s">
        <v>115</v>
      </c>
      <c r="C85" s="19">
        <v>1</v>
      </c>
      <c r="D85" s="16">
        <v>160</v>
      </c>
      <c r="E85" s="16">
        <v>1470</v>
      </c>
      <c r="F85" s="16">
        <v>1563.1876437398053</v>
      </c>
      <c r="G85" s="16">
        <v>-93.187643739805253</v>
      </c>
      <c r="H85" s="16">
        <v>-0.41452732726535424</v>
      </c>
      <c r="I85" s="16">
        <v>44.714899833102471</v>
      </c>
      <c r="J85" s="16">
        <v>1473.0706845218474</v>
      </c>
      <c r="K85" s="16">
        <v>1653.3046029577631</v>
      </c>
      <c r="L85" s="16">
        <v>229.20847205919964</v>
      </c>
      <c r="M85" s="16">
        <v>1101.2483213648063</v>
      </c>
      <c r="N85" s="16">
        <v>2025.1269661148042</v>
      </c>
    </row>
    <row r="86" spans="2:14" x14ac:dyDescent="0.2">
      <c r="B86" t="s">
        <v>116</v>
      </c>
      <c r="C86" s="19">
        <v>1</v>
      </c>
      <c r="D86" s="16">
        <v>120</v>
      </c>
      <c r="E86" s="16">
        <v>1250</v>
      </c>
      <c r="F86" s="16">
        <v>1185.4553075195945</v>
      </c>
      <c r="G86" s="16">
        <v>64.544692480405502</v>
      </c>
      <c r="H86" s="16">
        <v>0.2871146623019295</v>
      </c>
      <c r="I86" s="16">
        <v>34.030380929640998</v>
      </c>
      <c r="J86" s="16">
        <v>1116.8715812481619</v>
      </c>
      <c r="K86" s="16">
        <v>1254.0390337910271</v>
      </c>
      <c r="L86" s="16">
        <v>227.36571470396541</v>
      </c>
      <c r="M86" s="16">
        <v>727.22981856589502</v>
      </c>
      <c r="N86" s="16">
        <v>1643.6807964732939</v>
      </c>
    </row>
    <row r="87" spans="2:14" x14ac:dyDescent="0.2">
      <c r="B87" t="s">
        <v>117</v>
      </c>
      <c r="C87" s="19">
        <v>1</v>
      </c>
      <c r="D87" s="16">
        <v>68</v>
      </c>
      <c r="E87" s="16">
        <v>650</v>
      </c>
      <c r="F87" s="16">
        <v>694.40327043332047</v>
      </c>
      <c r="G87" s="16">
        <v>-44.403270433320472</v>
      </c>
      <c r="H87" s="16">
        <v>-0.19751941647927676</v>
      </c>
      <c r="I87" s="16">
        <v>39.391733948061756</v>
      </c>
      <c r="J87" s="16">
        <v>615.01444713343778</v>
      </c>
      <c r="K87" s="16">
        <v>773.79209373320316</v>
      </c>
      <c r="L87" s="16">
        <v>228.22973097312146</v>
      </c>
      <c r="M87" s="16">
        <v>234.43647110697549</v>
      </c>
      <c r="N87" s="16">
        <v>1154.3700697596655</v>
      </c>
    </row>
    <row r="88" spans="2:14" x14ac:dyDescent="0.2">
      <c r="B88" t="s">
        <v>118</v>
      </c>
      <c r="C88" s="19">
        <v>1</v>
      </c>
      <c r="D88" s="16">
        <v>68</v>
      </c>
      <c r="E88" s="16">
        <v>775</v>
      </c>
      <c r="F88" s="16">
        <v>694.40327043332047</v>
      </c>
      <c r="G88" s="16">
        <v>80.596729566679528</v>
      </c>
      <c r="H88" s="16">
        <v>0.35851906489758439</v>
      </c>
      <c r="I88" s="16">
        <v>39.391733948061756</v>
      </c>
      <c r="J88" s="16">
        <v>615.01444713343778</v>
      </c>
      <c r="K88" s="16">
        <v>773.79209373320316</v>
      </c>
      <c r="L88" s="16">
        <v>228.22973097312146</v>
      </c>
      <c r="M88" s="16">
        <v>234.43647110697549</v>
      </c>
      <c r="N88" s="16">
        <v>1154.3700697596655</v>
      </c>
    </row>
    <row r="89" spans="2:14" x14ac:dyDescent="0.2">
      <c r="B89" t="s">
        <v>119</v>
      </c>
      <c r="C89" s="19">
        <v>1</v>
      </c>
      <c r="D89" s="16">
        <v>69</v>
      </c>
      <c r="E89" s="16">
        <v>833</v>
      </c>
      <c r="F89" s="16">
        <v>703.84657883882574</v>
      </c>
      <c r="G89" s="16">
        <v>129.15342116117426</v>
      </c>
      <c r="H89" s="16">
        <v>0.57451417733668408</v>
      </c>
      <c r="I89" s="16">
        <v>39.093249357000332</v>
      </c>
      <c r="J89" s="16">
        <v>625.0593117052382</v>
      </c>
      <c r="K89" s="16">
        <v>782.63384597241327</v>
      </c>
      <c r="L89" s="16">
        <v>228.17840288229979</v>
      </c>
      <c r="M89" s="16">
        <v>243.98322448238065</v>
      </c>
      <c r="N89" s="16">
        <v>1163.7099331952709</v>
      </c>
    </row>
    <row r="90" spans="2:14" x14ac:dyDescent="0.2">
      <c r="B90" t="s">
        <v>120</v>
      </c>
      <c r="C90" s="19">
        <v>1</v>
      </c>
      <c r="D90" s="16">
        <v>64</v>
      </c>
      <c r="E90" s="16">
        <v>725</v>
      </c>
      <c r="F90" s="16">
        <v>656.63003681129931</v>
      </c>
      <c r="G90" s="16">
        <v>68.369963188700694</v>
      </c>
      <c r="H90" s="16">
        <v>0.30413064402589629</v>
      </c>
      <c r="I90" s="16">
        <v>40.640290106734639</v>
      </c>
      <c r="J90" s="16">
        <v>574.72491391436029</v>
      </c>
      <c r="K90" s="16">
        <v>738.53515970823833</v>
      </c>
      <c r="L90" s="16">
        <v>228.4485381362465</v>
      </c>
      <c r="M90" s="16">
        <v>196.22226062333698</v>
      </c>
      <c r="N90" s="16">
        <v>1117.0378129992616</v>
      </c>
    </row>
    <row r="91" spans="2:14" x14ac:dyDescent="0.2">
      <c r="B91" t="s">
        <v>121</v>
      </c>
      <c r="C91" s="19">
        <v>1</v>
      </c>
      <c r="D91" s="16">
        <v>373</v>
      </c>
      <c r="E91" s="16">
        <v>3500</v>
      </c>
      <c r="F91" s="16">
        <v>3574.612334112428</v>
      </c>
      <c r="G91" s="16">
        <v>-74.612334112428016</v>
      </c>
      <c r="H91" s="16">
        <v>-0.33189863161485961</v>
      </c>
      <c r="I91" s="16">
        <v>152.42830240049875</v>
      </c>
      <c r="J91" s="16">
        <v>3267.4132760275606</v>
      </c>
      <c r="K91" s="16">
        <v>3881.8113921972954</v>
      </c>
      <c r="L91" s="16">
        <v>271.60907342967471</v>
      </c>
      <c r="M91" s="16">
        <v>3027.2202145986266</v>
      </c>
      <c r="N91" s="16">
        <v>4122.0044536262294</v>
      </c>
    </row>
    <row r="92" spans="2:14" x14ac:dyDescent="0.2">
      <c r="B92" t="s">
        <v>122</v>
      </c>
      <c r="C92" s="19">
        <v>1</v>
      </c>
      <c r="D92" s="16">
        <v>101</v>
      </c>
      <c r="E92" s="16">
        <v>836</v>
      </c>
      <c r="F92" s="16">
        <v>1006.0324478149944</v>
      </c>
      <c r="G92" s="16">
        <v>-170.03244781499438</v>
      </c>
      <c r="H92" s="16">
        <v>-0.75635667254271899</v>
      </c>
      <c r="I92" s="16">
        <v>33.270941745274911</v>
      </c>
      <c r="J92" s="16">
        <v>938.97927065049225</v>
      </c>
      <c r="K92" s="16">
        <v>1073.0856249794965</v>
      </c>
      <c r="L92" s="16">
        <v>227.25328811976735</v>
      </c>
      <c r="M92" s="16">
        <v>548.03353975359278</v>
      </c>
      <c r="N92" s="16">
        <v>1464.031355876396</v>
      </c>
    </row>
    <row r="93" spans="2:14" x14ac:dyDescent="0.2">
      <c r="B93" t="s">
        <v>123</v>
      </c>
      <c r="C93" s="19">
        <v>1</v>
      </c>
      <c r="D93" s="16">
        <v>91</v>
      </c>
      <c r="E93" s="16">
        <v>1060</v>
      </c>
      <c r="F93" s="16">
        <v>911.59936375994164</v>
      </c>
      <c r="G93" s="16">
        <v>148.40063624005836</v>
      </c>
      <c r="H93" s="16">
        <v>0.66013171528225634</v>
      </c>
      <c r="I93" s="16">
        <v>34.208470263106818</v>
      </c>
      <c r="J93" s="16">
        <v>842.65672202048847</v>
      </c>
      <c r="K93" s="16">
        <v>980.5420054993948</v>
      </c>
      <c r="L93" s="16">
        <v>227.39243794455959</v>
      </c>
      <c r="M93" s="16">
        <v>453.32001765366476</v>
      </c>
      <c r="N93" s="16">
        <v>1369.8787098662185</v>
      </c>
    </row>
    <row r="94" spans="2:14" x14ac:dyDescent="0.2">
      <c r="B94" t="s">
        <v>124</v>
      </c>
      <c r="C94" s="19">
        <v>1</v>
      </c>
      <c r="D94" s="16">
        <v>65</v>
      </c>
      <c r="E94" s="16">
        <v>645</v>
      </c>
      <c r="F94" s="16">
        <v>666.07334521680457</v>
      </c>
      <c r="G94" s="16">
        <v>-21.073345216804569</v>
      </c>
      <c r="H94" s="16">
        <v>-9.3740726975058836E-2</v>
      </c>
      <c r="I94" s="16">
        <v>40.320209873430088</v>
      </c>
      <c r="J94" s="16">
        <v>584.81330164328665</v>
      </c>
      <c r="K94" s="16">
        <v>747.33338879032249</v>
      </c>
      <c r="L94" s="16">
        <v>228.39181404084073</v>
      </c>
      <c r="M94" s="16">
        <v>205.77988893141244</v>
      </c>
      <c r="N94" s="16">
        <v>1126.3668015021967</v>
      </c>
    </row>
    <row r="95" spans="2:14" x14ac:dyDescent="0.2">
      <c r="B95" t="s">
        <v>125</v>
      </c>
      <c r="C95" s="19">
        <v>1</v>
      </c>
      <c r="D95" s="16">
        <v>132</v>
      </c>
      <c r="E95" s="16">
        <v>1160</v>
      </c>
      <c r="F95" s="16">
        <v>1298.7750083856577</v>
      </c>
      <c r="G95" s="16">
        <v>-138.77500838565766</v>
      </c>
      <c r="H95" s="16">
        <v>-0.61731395932657807</v>
      </c>
      <c r="I95" s="16">
        <v>36.138718298965209</v>
      </c>
      <c r="J95" s="16">
        <v>1225.9422073441094</v>
      </c>
      <c r="K95" s="16">
        <v>1371.6078094272059</v>
      </c>
      <c r="L95" s="16">
        <v>227.69081746289305</v>
      </c>
      <c r="M95" s="16">
        <v>839.89431787325452</v>
      </c>
      <c r="N95" s="16">
        <v>1757.6556988980608</v>
      </c>
    </row>
    <row r="96" spans="2:14" x14ac:dyDescent="0.2">
      <c r="B96" t="s">
        <v>126</v>
      </c>
      <c r="C96" s="19">
        <v>1</v>
      </c>
      <c r="D96" s="16">
        <v>56</v>
      </c>
      <c r="E96" s="16">
        <v>525</v>
      </c>
      <c r="F96" s="16">
        <v>581.0835695672572</v>
      </c>
      <c r="G96" s="16">
        <v>-56.0835695672572</v>
      </c>
      <c r="H96" s="16">
        <v>-0.24947698281896993</v>
      </c>
      <c r="I96" s="16">
        <v>43.374297734013695</v>
      </c>
      <c r="J96" s="16">
        <v>493.66841635002885</v>
      </c>
      <c r="K96" s="16">
        <v>668.49872278448549</v>
      </c>
      <c r="L96" s="16">
        <v>228.95071762400613</v>
      </c>
      <c r="M96" s="16">
        <v>119.66371712311532</v>
      </c>
      <c r="N96" s="16">
        <v>1042.5034220113992</v>
      </c>
    </row>
    <row r="97" spans="2:14" x14ac:dyDescent="0.2">
      <c r="B97" t="s">
        <v>127</v>
      </c>
      <c r="C97" s="19">
        <v>1</v>
      </c>
      <c r="D97" s="16">
        <v>51</v>
      </c>
      <c r="E97" s="16">
        <v>800</v>
      </c>
      <c r="F97" s="16">
        <v>533.86702753973088</v>
      </c>
      <c r="G97" s="16">
        <v>266.13297246026912</v>
      </c>
      <c r="H97" s="16">
        <v>1.1838413908089445</v>
      </c>
      <c r="I97" s="16">
        <v>45.222774397388093</v>
      </c>
      <c r="J97" s="16">
        <v>442.72651439302911</v>
      </c>
      <c r="K97" s="16">
        <v>625.00754068643266</v>
      </c>
      <c r="L97" s="16">
        <v>229.30809126767764</v>
      </c>
      <c r="M97" s="16">
        <v>71.726935842174058</v>
      </c>
      <c r="N97" s="16">
        <v>996.00711923728772</v>
      </c>
    </row>
    <row r="98" spans="2:14" x14ac:dyDescent="0.2">
      <c r="B98" t="s">
        <v>128</v>
      </c>
      <c r="C98" s="19">
        <v>1</v>
      </c>
      <c r="D98" s="16">
        <v>67</v>
      </c>
      <c r="E98" s="16">
        <v>950</v>
      </c>
      <c r="F98" s="16">
        <v>684.95996202781521</v>
      </c>
      <c r="G98" s="16">
        <v>265.04003797218479</v>
      </c>
      <c r="H98" s="16">
        <v>1.178979681744954</v>
      </c>
      <c r="I98" s="16">
        <v>39.695806906713869</v>
      </c>
      <c r="J98" s="16">
        <v>604.95831994680111</v>
      </c>
      <c r="K98" s="16">
        <v>764.96160410882931</v>
      </c>
      <c r="L98" s="16">
        <v>228.28240949009546</v>
      </c>
      <c r="M98" s="16">
        <v>224.88699612649125</v>
      </c>
      <c r="N98" s="16">
        <v>1145.0329279291391</v>
      </c>
    </row>
    <row r="99" spans="2:14" x14ac:dyDescent="0.2">
      <c r="B99" t="s">
        <v>129</v>
      </c>
      <c r="C99" s="19">
        <v>1</v>
      </c>
      <c r="D99" s="16">
        <v>200</v>
      </c>
      <c r="E99" s="16">
        <v>1650</v>
      </c>
      <c r="F99" s="16">
        <v>1940.919979960016</v>
      </c>
      <c r="G99" s="16">
        <v>-290.91997996001601</v>
      </c>
      <c r="H99" s="16">
        <v>-1.2941016308732336</v>
      </c>
      <c r="I99" s="16">
        <v>61.93300201253399</v>
      </c>
      <c r="J99" s="16">
        <v>1816.102215916241</v>
      </c>
      <c r="K99" s="16">
        <v>2065.7377440037912</v>
      </c>
      <c r="L99" s="16">
        <v>233.17975498510384</v>
      </c>
      <c r="M99" s="16">
        <v>1470.9770627472235</v>
      </c>
      <c r="N99" s="16">
        <v>2410.8628971728085</v>
      </c>
    </row>
    <row r="100" spans="2:14" x14ac:dyDescent="0.2">
      <c r="B100" t="s">
        <v>130</v>
      </c>
      <c r="C100" s="19">
        <v>1</v>
      </c>
      <c r="D100" s="16">
        <v>141</v>
      </c>
      <c r="E100" s="16">
        <v>1100</v>
      </c>
      <c r="F100" s="16">
        <v>1383.7647840352051</v>
      </c>
      <c r="G100" s="16">
        <v>-283.76478403520514</v>
      </c>
      <c r="H100" s="16">
        <v>-1.2622731166653476</v>
      </c>
      <c r="I100" s="16">
        <v>38.415159326463524</v>
      </c>
      <c r="J100" s="16">
        <v>1306.3441175617124</v>
      </c>
      <c r="K100" s="16">
        <v>1461.1854505086978</v>
      </c>
      <c r="L100" s="16">
        <v>228.0632058502776</v>
      </c>
      <c r="M100" s="16">
        <v>924.13359404176924</v>
      </c>
      <c r="N100" s="16">
        <v>1843.3959740286409</v>
      </c>
    </row>
    <row r="101" spans="2:14" x14ac:dyDescent="0.2">
      <c r="B101" t="s">
        <v>131</v>
      </c>
      <c r="C101" s="19">
        <v>1</v>
      </c>
      <c r="D101" s="16">
        <v>118</v>
      </c>
      <c r="E101" s="16">
        <v>948</v>
      </c>
      <c r="F101" s="16">
        <v>1166.568690708584</v>
      </c>
      <c r="G101" s="16">
        <v>-218.56869070858397</v>
      </c>
      <c r="H101" s="16">
        <v>-0.97226082286503923</v>
      </c>
      <c r="I101" s="16">
        <v>33.795202007375238</v>
      </c>
      <c r="J101" s="16">
        <v>1098.4589364112776</v>
      </c>
      <c r="K101" s="16">
        <v>1234.6784450058904</v>
      </c>
      <c r="L101" s="16">
        <v>227.33063382515743</v>
      </c>
      <c r="M101" s="16">
        <v>708.41390262051698</v>
      </c>
      <c r="N101" s="16">
        <v>1624.7234787966509</v>
      </c>
    </row>
    <row r="102" spans="2:14" x14ac:dyDescent="0.2">
      <c r="B102" t="s">
        <v>132</v>
      </c>
      <c r="C102" s="19">
        <v>1</v>
      </c>
      <c r="D102" s="16">
        <v>132</v>
      </c>
      <c r="E102" s="16">
        <v>1030</v>
      </c>
      <c r="F102" s="16">
        <v>1298.7750083856577</v>
      </c>
      <c r="G102" s="16">
        <v>-268.77500838565766</v>
      </c>
      <c r="H102" s="16">
        <v>-1.1955939799585138</v>
      </c>
      <c r="I102" s="16">
        <v>36.138718298965209</v>
      </c>
      <c r="J102" s="16">
        <v>1225.9422073441094</v>
      </c>
      <c r="K102" s="16">
        <v>1371.6078094272059</v>
      </c>
      <c r="L102" s="16">
        <v>227.69081746289305</v>
      </c>
      <c r="M102" s="16">
        <v>839.89431787325452</v>
      </c>
      <c r="N102" s="16">
        <v>1757.6556988980608</v>
      </c>
    </row>
    <row r="103" spans="2:14" x14ac:dyDescent="0.2">
      <c r="B103" t="s">
        <v>133</v>
      </c>
      <c r="C103" s="19">
        <v>1</v>
      </c>
      <c r="D103" s="16">
        <v>20</v>
      </c>
      <c r="E103" s="16">
        <v>185</v>
      </c>
      <c r="F103" s="16">
        <v>241.12446696906744</v>
      </c>
      <c r="G103" s="16">
        <v>-56.124466969067441</v>
      </c>
      <c r="H103" s="16">
        <v>-0.24965890705252855</v>
      </c>
      <c r="I103" s="16">
        <v>58.373358492982298</v>
      </c>
      <c r="J103" s="16">
        <v>123.48069305116155</v>
      </c>
      <c r="K103" s="16">
        <v>358.76824088697333</v>
      </c>
      <c r="L103" s="16">
        <v>232.25966153936147</v>
      </c>
      <c r="M103" s="16">
        <v>-226.96412374772143</v>
      </c>
      <c r="N103" s="16">
        <v>709.21305768585626</v>
      </c>
    </row>
    <row r="104" spans="2:14" x14ac:dyDescent="0.2">
      <c r="B104" t="s">
        <v>134</v>
      </c>
      <c r="C104" s="19">
        <v>1</v>
      </c>
      <c r="D104" s="16">
        <v>50</v>
      </c>
      <c r="E104" s="16">
        <v>511</v>
      </c>
      <c r="F104" s="16">
        <v>524.42371913422562</v>
      </c>
      <c r="G104" s="16">
        <v>-13.423719134225621</v>
      </c>
      <c r="H104" s="16">
        <v>-5.9712835214594626E-2</v>
      </c>
      <c r="I104" s="16">
        <v>45.603933179437178</v>
      </c>
      <c r="J104" s="16">
        <v>432.51503093746919</v>
      </c>
      <c r="K104" s="16">
        <v>616.33240733098205</v>
      </c>
      <c r="L104" s="16">
        <v>229.38356549252407</v>
      </c>
      <c r="M104" s="16">
        <v>62.131519131207313</v>
      </c>
      <c r="N104" s="16">
        <v>986.71591913724387</v>
      </c>
    </row>
    <row r="105" spans="2:14" x14ac:dyDescent="0.2">
      <c r="B105" t="s">
        <v>135</v>
      </c>
      <c r="C105" s="19">
        <v>1</v>
      </c>
      <c r="D105" s="16">
        <v>83</v>
      </c>
      <c r="E105" s="16">
        <v>865</v>
      </c>
      <c r="F105" s="16">
        <v>836.05289651589953</v>
      </c>
      <c r="G105" s="16">
        <v>28.947103484100467</v>
      </c>
      <c r="H105" s="16">
        <v>0.12876562769246458</v>
      </c>
      <c r="I105" s="16">
        <v>35.575298910990526</v>
      </c>
      <c r="J105" s="16">
        <v>764.35559263968617</v>
      </c>
      <c r="K105" s="16">
        <v>907.7502003921129</v>
      </c>
      <c r="L105" s="16">
        <v>227.60207224283974</v>
      </c>
      <c r="M105" s="16">
        <v>377.35106024237837</v>
      </c>
      <c r="N105" s="16">
        <v>1294.7547327894208</v>
      </c>
    </row>
    <row r="106" spans="2:14" x14ac:dyDescent="0.2">
      <c r="B106" t="s">
        <v>136</v>
      </c>
      <c r="C106" s="19">
        <v>1</v>
      </c>
      <c r="D106" s="16">
        <v>121</v>
      </c>
      <c r="E106" s="16">
        <v>1367</v>
      </c>
      <c r="F106" s="16">
        <v>1194.8986159250996</v>
      </c>
      <c r="G106" s="16">
        <v>172.10138407490035</v>
      </c>
      <c r="H106" s="16">
        <v>0.76555993795090815</v>
      </c>
      <c r="I106" s="16">
        <v>34.161017791570515</v>
      </c>
      <c r="J106" s="16">
        <v>1126.0516083581078</v>
      </c>
      <c r="K106" s="16">
        <v>1263.7456234920915</v>
      </c>
      <c r="L106" s="16">
        <v>227.38530412756344</v>
      </c>
      <c r="M106" s="16">
        <v>736.6336470822788</v>
      </c>
      <c r="N106" s="16">
        <v>1653.1635847679204</v>
      </c>
    </row>
    <row r="107" spans="2:14" x14ac:dyDescent="0.2">
      <c r="B107" t="s">
        <v>137</v>
      </c>
      <c r="C107" s="19">
        <v>1</v>
      </c>
      <c r="D107" s="16">
        <v>178</v>
      </c>
      <c r="E107" s="16">
        <v>2310</v>
      </c>
      <c r="F107" s="16">
        <v>1733.1671950389002</v>
      </c>
      <c r="G107" s="16">
        <v>576.83280496109978</v>
      </c>
      <c r="H107" s="16">
        <v>2.5659298950314007</v>
      </c>
      <c r="I107" s="16">
        <v>51.98677282848822</v>
      </c>
      <c r="J107" s="16">
        <v>1628.3947387805977</v>
      </c>
      <c r="K107" s="16">
        <v>1837.9396512972028</v>
      </c>
      <c r="L107" s="16">
        <v>230.73735273195226</v>
      </c>
      <c r="M107" s="16">
        <v>1268.1466161308481</v>
      </c>
      <c r="N107" s="16">
        <v>2198.1877739469523</v>
      </c>
    </row>
    <row r="108" spans="2:14" x14ac:dyDescent="0.2">
      <c r="B108" t="s">
        <v>138</v>
      </c>
      <c r="C108" s="19">
        <v>1</v>
      </c>
      <c r="D108" s="16">
        <v>195</v>
      </c>
      <c r="E108" s="16">
        <v>2380</v>
      </c>
      <c r="F108" s="16">
        <v>1893.7034379324898</v>
      </c>
      <c r="G108" s="16">
        <v>486.29656206751019</v>
      </c>
      <c r="H108" s="16">
        <v>2.1631968149664549</v>
      </c>
      <c r="I108" s="16">
        <v>59.596583752034199</v>
      </c>
      <c r="J108" s="16">
        <v>1773.5944154912549</v>
      </c>
      <c r="K108" s="16">
        <v>2013.8124603737247</v>
      </c>
      <c r="L108" s="16">
        <v>232.57010597138606</v>
      </c>
      <c r="M108" s="16">
        <v>1424.9891875737333</v>
      </c>
      <c r="N108" s="16">
        <v>2362.4176882912466</v>
      </c>
    </row>
    <row r="109" spans="2:14" x14ac:dyDescent="0.2">
      <c r="B109" t="s">
        <v>139</v>
      </c>
      <c r="C109" s="19">
        <v>1</v>
      </c>
      <c r="D109" s="16">
        <v>104</v>
      </c>
      <c r="E109" s="16">
        <v>870</v>
      </c>
      <c r="F109" s="16">
        <v>1034.3623730315101</v>
      </c>
      <c r="G109" s="16">
        <v>-164.36237303151006</v>
      </c>
      <c r="H109" s="16">
        <v>-0.73113443436750414</v>
      </c>
      <c r="I109" s="16">
        <v>33.167785249581179</v>
      </c>
      <c r="J109" s="16">
        <v>967.51709412352193</v>
      </c>
      <c r="K109" s="16">
        <v>1101.2076519394982</v>
      </c>
      <c r="L109" s="16">
        <v>227.23820843993391</v>
      </c>
      <c r="M109" s="16">
        <v>576.39385606787766</v>
      </c>
      <c r="N109" s="16">
        <v>1492.3308899951426</v>
      </c>
    </row>
    <row r="110" spans="2:14" x14ac:dyDescent="0.2">
      <c r="B110" t="s">
        <v>140</v>
      </c>
      <c r="C110" s="19">
        <v>1</v>
      </c>
      <c r="D110" s="16">
        <v>191</v>
      </c>
      <c r="E110" s="16">
        <v>2200</v>
      </c>
      <c r="F110" s="16">
        <v>1855.9302043104688</v>
      </c>
      <c r="G110" s="16">
        <v>344.06979568953125</v>
      </c>
      <c r="H110" s="16">
        <v>1.5305283734628308</v>
      </c>
      <c r="I110" s="16">
        <v>57.756302507236505</v>
      </c>
      <c r="J110" s="16">
        <v>1739.5300250178489</v>
      </c>
      <c r="K110" s="16">
        <v>1972.3303836030886</v>
      </c>
      <c r="L110" s="16">
        <v>232.10534650441798</v>
      </c>
      <c r="M110" s="16">
        <v>1388.1526151113535</v>
      </c>
      <c r="N110" s="16">
        <v>2323.707793509584</v>
      </c>
    </row>
    <row r="111" spans="2:14" x14ac:dyDescent="0.2">
      <c r="B111" t="s">
        <v>141</v>
      </c>
      <c r="C111" s="19">
        <v>1</v>
      </c>
      <c r="D111" s="16">
        <v>158</v>
      </c>
      <c r="E111" s="16">
        <v>895</v>
      </c>
      <c r="F111" s="16">
        <v>1544.3010269287947</v>
      </c>
      <c r="G111" s="16">
        <v>-649.30102692879473</v>
      </c>
      <c r="H111" s="16">
        <v>-2.8882908557593878</v>
      </c>
      <c r="I111" s="16">
        <v>43.974142039050648</v>
      </c>
      <c r="J111" s="16">
        <v>1455.6769669494824</v>
      </c>
      <c r="K111" s="16">
        <v>1632.925086908107</v>
      </c>
      <c r="L111" s="16">
        <v>229.06511424636253</v>
      </c>
      <c r="M111" s="16">
        <v>1082.6506232413303</v>
      </c>
      <c r="N111" s="16">
        <v>2005.9514306162591</v>
      </c>
    </row>
    <row r="112" spans="2:14" x14ac:dyDescent="0.2">
      <c r="B112" t="s">
        <v>142</v>
      </c>
      <c r="C112" s="19">
        <v>1</v>
      </c>
      <c r="D112" s="16">
        <v>145</v>
      </c>
      <c r="E112" s="16">
        <v>1300</v>
      </c>
      <c r="F112" s="16">
        <v>1421.5380176572262</v>
      </c>
      <c r="G112" s="16">
        <v>-121.53801765722619</v>
      </c>
      <c r="H112" s="16">
        <v>-0.54063851814142549</v>
      </c>
      <c r="I112" s="16">
        <v>39.589416551546464</v>
      </c>
      <c r="J112" s="16">
        <v>1341.7507912482497</v>
      </c>
      <c r="K112" s="16">
        <v>1501.3252440662027</v>
      </c>
      <c r="L112" s="16">
        <v>228.26393341813852</v>
      </c>
      <c r="M112" s="16">
        <v>961.50228783222724</v>
      </c>
      <c r="N112" s="16">
        <v>1881.5737474822251</v>
      </c>
    </row>
    <row r="113" spans="2:14" ht="13.5" thickBot="1" x14ac:dyDescent="0.25">
      <c r="B113" s="8" t="s">
        <v>143</v>
      </c>
      <c r="C113" s="10">
        <v>1</v>
      </c>
      <c r="D113" s="12">
        <v>105</v>
      </c>
      <c r="E113" s="12">
        <v>795</v>
      </c>
      <c r="F113" s="12">
        <v>1043.8056814370154</v>
      </c>
      <c r="G113" s="12">
        <v>-248.80568143701544</v>
      </c>
      <c r="H113" s="12">
        <v>-1.1067642661133854</v>
      </c>
      <c r="I113" s="12">
        <v>33.152090407673178</v>
      </c>
      <c r="J113" s="12">
        <v>976.99203340449458</v>
      </c>
      <c r="K113" s="12">
        <v>1110.6193294695363</v>
      </c>
      <c r="L113" s="12">
        <v>227.23591814461696</v>
      </c>
      <c r="M113" s="12">
        <v>585.84178026030077</v>
      </c>
      <c r="N113" s="12">
        <v>1501.7695826137301</v>
      </c>
    </row>
    <row r="116" spans="2:14" x14ac:dyDescent="0.2">
      <c r="B116" s="37" t="s">
        <v>150</v>
      </c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</row>
    <row r="117" spans="2:14" x14ac:dyDescent="0.2">
      <c r="B117" s="37" t="s">
        <v>151</v>
      </c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</row>
    <row r="140" spans="1:6" s="36" customFormat="1" x14ac:dyDescent="0.2">
      <c r="A140" s="36" t="s">
        <v>157</v>
      </c>
      <c r="B140" s="36" t="s">
        <v>158</v>
      </c>
    </row>
    <row r="141" spans="1:6" x14ac:dyDescent="0.2">
      <c r="B141" s="36" t="s">
        <v>159</v>
      </c>
      <c r="C141" s="36"/>
      <c r="D141" s="36"/>
      <c r="E141" s="41">
        <f>19*C1</f>
        <v>191.83089423575254</v>
      </c>
      <c r="F141" s="36" t="s">
        <v>160</v>
      </c>
    </row>
  </sheetData>
  <phoneticPr fontId="1" type="noConversion"/>
  <pageMargins left="0.78740157499999996" right="0.78740157499999996" top="0.984251969" bottom="0.984251969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Drop Down 8">
              <controlPr defaultSize="0" autoFill="0" autoPict="0" macro="[0]!GoToResults1405200916214846">
                <anchor moveWithCells="1">
                  <from>
                    <xdr:col>1</xdr:col>
                    <xdr:colOff>9525</xdr:colOff>
                    <xdr:row>8</xdr:row>
                    <xdr:rowOff>9525</xdr:rowOff>
                  </from>
                  <to>
                    <xdr:col>3</xdr:col>
                    <xdr:colOff>381000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Solutions</vt:lpstr>
    </vt:vector>
  </TitlesOfParts>
  <Company>Groupe ESSEC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Guillaume Chevillon</dc:creator>
  <cp:lastModifiedBy>Bruno Fischer</cp:lastModifiedBy>
  <dcterms:created xsi:type="dcterms:W3CDTF">2009-05-14T13:50:56Z</dcterms:created>
  <dcterms:modified xsi:type="dcterms:W3CDTF">2018-02-26T20:12:35Z</dcterms:modified>
</cp:coreProperties>
</file>